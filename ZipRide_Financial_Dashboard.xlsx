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shasri\Downloads\"/>
    </mc:Choice>
  </mc:AlternateContent>
  <bookViews>
    <workbookView xWindow="0" yWindow="0" windowWidth="19200" windowHeight="6930" tabRatio="500" activeTab="2"/>
  </bookViews>
  <sheets>
    <sheet name="Sheet2" sheetId="6" r:id="rId1"/>
    <sheet name="Sheet3" sheetId="7" r:id="rId2"/>
    <sheet name="Raw_Data" sheetId="1" r:id="rId3"/>
    <sheet name="Lookup_Table" sheetId="2" r:id="rId4"/>
    <sheet name="Summary" sheetId="3" r:id="rId5"/>
    <sheet name="Dashboard" sheetId="4" r:id="rId6"/>
  </sheets>
  <calcPr calcId="162913"/>
  <pivotCaches>
    <pivotCache cacheId="15" r:id="rId7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3" i="4" l="1"/>
  <c r="D23" i="4"/>
  <c r="C23" i="4"/>
  <c r="B23" i="4"/>
  <c r="G22" i="4"/>
  <c r="D22" i="4"/>
  <c r="C22" i="4"/>
  <c r="B22" i="4"/>
  <c r="E22" i="4" s="1"/>
  <c r="G21" i="4"/>
  <c r="D21" i="4"/>
  <c r="C21" i="4"/>
  <c r="B21" i="4"/>
  <c r="G16" i="4"/>
  <c r="D16" i="4"/>
  <c r="C16" i="4"/>
  <c r="B16" i="4"/>
  <c r="G15" i="4"/>
  <c r="D15" i="4"/>
  <c r="C15" i="4"/>
  <c r="B15" i="4"/>
  <c r="G14" i="4"/>
  <c r="D14" i="4"/>
  <c r="C14" i="4"/>
  <c r="B14" i="4"/>
  <c r="E14" i="4" s="1"/>
  <c r="G13" i="4"/>
  <c r="D13" i="4"/>
  <c r="C13" i="4"/>
  <c r="B13" i="4"/>
  <c r="G12" i="4"/>
  <c r="E12" i="4"/>
  <c r="D12" i="4"/>
  <c r="C12" i="4"/>
  <c r="B12" i="4"/>
  <c r="F12" i="4" s="1"/>
  <c r="G11" i="4"/>
  <c r="D11" i="4"/>
  <c r="C11" i="4"/>
  <c r="B11" i="4"/>
  <c r="K6" i="4"/>
  <c r="I6" i="4"/>
  <c r="G6" i="4"/>
  <c r="E6" i="4"/>
  <c r="C6" i="4"/>
  <c r="A6" i="4"/>
  <c r="H24" i="3"/>
  <c r="G24" i="3"/>
  <c r="F24" i="3"/>
  <c r="C24" i="3"/>
  <c r="E24" i="3" s="1"/>
  <c r="I24" i="3" s="1"/>
  <c r="B24" i="3"/>
  <c r="D24" i="3" s="1"/>
  <c r="G23" i="3"/>
  <c r="F23" i="3"/>
  <c r="H23" i="3" s="1"/>
  <c r="C23" i="3"/>
  <c r="E23" i="3" s="1"/>
  <c r="I23" i="3" s="1"/>
  <c r="B23" i="3"/>
  <c r="D23" i="3" s="1"/>
  <c r="G22" i="3"/>
  <c r="H22" i="3" s="1"/>
  <c r="F22" i="3"/>
  <c r="C22" i="3"/>
  <c r="E22" i="3" s="1"/>
  <c r="I22" i="3" s="1"/>
  <c r="B22" i="3"/>
  <c r="D22" i="3" s="1"/>
  <c r="G21" i="3"/>
  <c r="H21" i="3" s="1"/>
  <c r="F21" i="3"/>
  <c r="C21" i="3"/>
  <c r="E21" i="3" s="1"/>
  <c r="B21" i="3"/>
  <c r="D21" i="3" s="1"/>
  <c r="G20" i="3"/>
  <c r="H20" i="3" s="1"/>
  <c r="F20" i="3"/>
  <c r="C20" i="3"/>
  <c r="E20" i="3" s="1"/>
  <c r="I20" i="3" s="1"/>
  <c r="B20" i="3"/>
  <c r="D20" i="3" s="1"/>
  <c r="G19" i="3"/>
  <c r="H19" i="3" s="1"/>
  <c r="F19" i="3"/>
  <c r="C19" i="3"/>
  <c r="E19" i="3" s="1"/>
  <c r="B19" i="3"/>
  <c r="D19" i="3" s="1"/>
  <c r="G15" i="3"/>
  <c r="E15" i="3"/>
  <c r="F15" i="3" s="1"/>
  <c r="D15" i="3"/>
  <c r="C15" i="3"/>
  <c r="B15" i="3"/>
  <c r="G14" i="3"/>
  <c r="C14" i="3"/>
  <c r="E14" i="3" s="1"/>
  <c r="F14" i="3" s="1"/>
  <c r="B14" i="3"/>
  <c r="D14" i="3" s="1"/>
  <c r="G13" i="3"/>
  <c r="E13" i="3"/>
  <c r="F13" i="3" s="1"/>
  <c r="D13" i="3"/>
  <c r="C13" i="3"/>
  <c r="B13" i="3"/>
  <c r="G7" i="3"/>
  <c r="F7" i="3"/>
  <c r="E7" i="3"/>
  <c r="D7" i="3"/>
  <c r="C7" i="3"/>
  <c r="B7" i="3"/>
  <c r="G6" i="3"/>
  <c r="F6" i="3"/>
  <c r="E6" i="3"/>
  <c r="E8" i="3" s="1"/>
  <c r="D6" i="3"/>
  <c r="D8" i="3" s="1"/>
  <c r="C6" i="3"/>
  <c r="B6" i="3"/>
  <c r="G5" i="3"/>
  <c r="G8" i="3" s="1"/>
  <c r="F5" i="3"/>
  <c r="E5" i="3"/>
  <c r="E9" i="3" s="1"/>
  <c r="D5" i="3"/>
  <c r="C5" i="3"/>
  <c r="C8" i="3" s="1"/>
  <c r="B5" i="3"/>
  <c r="B8" i="3" s="1"/>
  <c r="F23" i="4" l="1"/>
  <c r="I19" i="3"/>
  <c r="I21" i="3"/>
  <c r="D9" i="3"/>
  <c r="F14" i="4"/>
  <c r="F22" i="4"/>
  <c r="G9" i="3"/>
  <c r="E13" i="4"/>
  <c r="F13" i="4" s="1"/>
  <c r="E21" i="4"/>
  <c r="F21" i="4" s="1"/>
  <c r="F8" i="3"/>
  <c r="F9" i="3" s="1"/>
  <c r="E16" i="4"/>
  <c r="F16" i="4" s="1"/>
  <c r="C9" i="3"/>
  <c r="E11" i="4"/>
  <c r="F11" i="4" s="1"/>
  <c r="E15" i="4"/>
  <c r="F15" i="4" s="1"/>
  <c r="E23" i="4"/>
  <c r="B9" i="3"/>
</calcChain>
</file>

<file path=xl/sharedStrings.xml><?xml version="1.0" encoding="utf-8"?>
<sst xmlns="http://schemas.openxmlformats.org/spreadsheetml/2006/main" count="1048" uniqueCount="91">
  <si>
    <t>Month</t>
  </si>
  <si>
    <t>City</t>
  </si>
  <si>
    <t>Type</t>
  </si>
  <si>
    <t>Sub-Category</t>
  </si>
  <si>
    <t>Amount (₹)</t>
  </si>
  <si>
    <t>Jan 2025</t>
  </si>
  <si>
    <t>Bengaluru</t>
  </si>
  <si>
    <t>Revenue</t>
  </si>
  <si>
    <t>Ride Revenue</t>
  </si>
  <si>
    <t>Subscription Revenue</t>
  </si>
  <si>
    <t>Corporate Tie-ups</t>
  </si>
  <si>
    <t>OpEx</t>
  </si>
  <si>
    <t>Agent Payouts</t>
  </si>
  <si>
    <t>Maintenance &amp; Repairs</t>
  </si>
  <si>
    <t>Fuel &amp; Charging</t>
  </si>
  <si>
    <t>Overhead</t>
  </si>
  <si>
    <t>Office Rent</t>
  </si>
  <si>
    <t>Marketing Spend</t>
  </si>
  <si>
    <t>Software &amp; Tools</t>
  </si>
  <si>
    <t>Target</t>
  </si>
  <si>
    <t>Revenue Target</t>
  </si>
  <si>
    <t>OpEx Target</t>
  </si>
  <si>
    <t>Overhead Target</t>
  </si>
  <si>
    <t>Mumbai</t>
  </si>
  <si>
    <t>Hyderabad</t>
  </si>
  <si>
    <t>Feb 2025</t>
  </si>
  <si>
    <t>Mar 2025</t>
  </si>
  <si>
    <t>Apr 2025</t>
  </si>
  <si>
    <t>May 2025</t>
  </si>
  <si>
    <t>Jun 2025</t>
  </si>
  <si>
    <t>CATEGORY LOOKUP TABLE</t>
  </si>
  <si>
    <t>Cost Center</t>
  </si>
  <si>
    <t>Is_Revenue</t>
  </si>
  <si>
    <t>Operations</t>
  </si>
  <si>
    <t>Yes</t>
  </si>
  <si>
    <t>Product</t>
  </si>
  <si>
    <t>Sales</t>
  </si>
  <si>
    <t>HR/Ops</t>
  </si>
  <si>
    <t>No</t>
  </si>
  <si>
    <t>Engineering</t>
  </si>
  <si>
    <t>Admin</t>
  </si>
  <si>
    <t>Marketing</t>
  </si>
  <si>
    <t>Tech</t>
  </si>
  <si>
    <t>CITY REFERENCE</t>
  </si>
  <si>
    <t>Zone</t>
  </si>
  <si>
    <t>Fleet Size</t>
  </si>
  <si>
    <t>Launch Year</t>
  </si>
  <si>
    <t>South</t>
  </si>
  <si>
    <t>West</t>
  </si>
  <si>
    <t>YULU RIDES — FINANCIAL SUMMARY (JAN–JUN 2025)</t>
  </si>
  <si>
    <t>MONTHLY P&amp;L OVERVIEW (₹)</t>
  </si>
  <si>
    <t>Category</t>
  </si>
  <si>
    <t>Total Revenue</t>
  </si>
  <si>
    <t>Total OpEx</t>
  </si>
  <si>
    <t>Total Overhead</t>
  </si>
  <si>
    <t>Gross Profit</t>
  </si>
  <si>
    <t>Gross Margin %</t>
  </si>
  <si>
    <t>CITY-WISE REVENUE vs TARGET (₹)</t>
  </si>
  <si>
    <t>Actual Revenue</t>
  </si>
  <si>
    <t>Variance (₹)</t>
  </si>
  <si>
    <t>Variance %</t>
  </si>
  <si>
    <t>Status</t>
  </si>
  <si>
    <t>Cost Centre (VLOOKUP)</t>
  </si>
  <si>
    <t>VARIANCE ANALYSIS — ACTUAL vs TARGET (All Cities, All Months)</t>
  </si>
  <si>
    <t>Rev Variance</t>
  </si>
  <si>
    <t>Rev Var %</t>
  </si>
  <si>
    <t>OpEx Variance</t>
  </si>
  <si>
    <t>Flag</t>
  </si>
  <si>
    <t>🚲  YULU RIDES  |  FINANCIAL PERFORMANCE DASHBOARD  |  H1 2025</t>
  </si>
  <si>
    <t>Data Source: Raw_Data sheet  |  Period: Jan–Jun 2025  |  Cities: Bengaluru, Mumbai, Hyderabad</t>
  </si>
  <si>
    <t>KEY PERFORMANCE INDICATORS</t>
  </si>
  <si>
    <t>Avg Monthly Revenue</t>
  </si>
  <si>
    <t>MONTHLY TREND DATA (for charting)</t>
  </si>
  <si>
    <t>Margin %</t>
  </si>
  <si>
    <t>Rev Target</t>
  </si>
  <si>
    <t>CITY PERFORMANCE SNAPSHOT</t>
  </si>
  <si>
    <t>6M Revenue</t>
  </si>
  <si>
    <t>6M OpEx</t>
  </si>
  <si>
    <t>6M Overhead</t>
  </si>
  <si>
    <t>Fleet Size (Lookup)</t>
  </si>
  <si>
    <t>📌  HOW TO BUILD YOUR CHARTS (Step 5 of the Build Guide)</t>
  </si>
  <si>
    <t>1. Select A10:B16 → Insert → Line/Column Chart → 'Monthly Revenue Trend'</t>
  </si>
  <si>
    <t>2. Select A10:E16 → Insert → Stacked Column Chart → 'Revenue vs Cost Breakdown'</t>
  </si>
  <si>
    <t>3. Select A10:A16 + F10:F16 → Insert → Line Chart → 'Gross Margin % by Month'</t>
  </si>
  <si>
    <t>4. Select A21:B23 → Insert → Pie/Donut Chart → 'Revenue by City'</t>
  </si>
  <si>
    <t>5. Add slicers: select any SUMIFS cell → Insert → Slicer (connect to Raw_Data table)</t>
  </si>
  <si>
    <t>6. Right-click each chart → Move Chart → to this Dashboard sheet</t>
  </si>
  <si>
    <t>Row Labels</t>
  </si>
  <si>
    <t>Grand Total</t>
  </si>
  <si>
    <t>Column Labels</t>
  </si>
  <si>
    <t>Sum of Amount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</si>
</sst>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₹#,##0"/>
    <numFmt numFmtId="165" formatCode="0.0%"/>
  </numFmts>
  <fonts count="2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1E8449"/>
      <name val="Arial"/>
      <charset val="1"/>
    </font>
    <font>
      <b/>
      <sz val="10"/>
      <color rgb="FFC0392B"/>
      <name val="Arial"/>
      <charset val="1"/>
    </font>
    <font>
      <b/>
      <sz val="13"/>
      <color rgb="FFFFFFFF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4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14"/>
      <color rgb="FF1E8449"/>
      <name val="Arial"/>
      <charset val="1"/>
    </font>
    <font>
      <b/>
      <sz val="14"/>
      <color rgb="FFC0392B"/>
      <name val="Arial"/>
      <charset val="1"/>
    </font>
    <font>
      <b/>
      <sz val="14"/>
      <color rgb="FFE67E22"/>
      <name val="Arial"/>
      <charset val="1"/>
    </font>
    <font>
      <b/>
      <sz val="14"/>
      <color rgb="FF2E75B6"/>
      <name val="Arial"/>
      <charset val="1"/>
    </font>
    <font>
      <b/>
      <sz val="14"/>
      <color rgb="FFF4B942"/>
      <name val="Arial"/>
      <charset val="1"/>
    </font>
    <font>
      <b/>
      <sz val="14"/>
      <color rgb="FF1F3864"/>
      <name val="Arial"/>
      <charset val="1"/>
    </font>
    <font>
      <sz val="9"/>
      <color rgb="FF1F3864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9E6"/>
      </patternFill>
    </fill>
    <fill>
      <patternFill patternType="solid">
        <fgColor rgb="FFF2F2F2"/>
        <bgColor rgb="FFFFF9E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F2F2F2"/>
      </patternFill>
    </fill>
    <fill>
      <patternFill patternType="solid">
        <fgColor rgb="FF1E8449"/>
        <bgColor rgb="FF008080"/>
      </patternFill>
    </fill>
    <fill>
      <patternFill patternType="solid">
        <fgColor rgb="FFF4B942"/>
        <bgColor rgb="FFFFCC99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FFF9E6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15" fillId="4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64" fontId="9" fillId="7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165" fontId="10" fillId="8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164" fontId="16" fillId="4" borderId="1" xfId="0" applyNumberFormat="1" applyFont="1" applyFill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/>
    </xf>
    <xf numFmtId="165" fontId="18" fillId="4" borderId="1" xfId="0" applyNumberFormat="1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 wrapText="1"/>
    </xf>
    <xf numFmtId="0" fontId="10" fillId="8" borderId="0" xfId="0" applyFont="1" applyFill="1" applyBorder="1" applyAlignment="1">
      <alignment horizontal="center" vertical="center" wrapText="1"/>
    </xf>
    <xf numFmtId="0" fontId="20" fillId="11" borderId="0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E67E22"/>
      <rgbColor rgb="FF666699"/>
      <rgbColor rgb="FF969696"/>
      <rgbColor rgb="FF1F3864"/>
      <rgbColor rgb="FF1E8449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arshaSri" refreshedDate="46123.729450347222" createdVersion="6" refreshedVersion="6" minRefreshableVersion="3" recordCount="216">
  <cacheSource type="worksheet">
    <worksheetSource ref="A1:E217" sheet="Raw_Data"/>
  </cacheSource>
  <cacheFields count="5">
    <cacheField name="Month" numFmtId="0">
      <sharedItems count="6">
        <s v="Jan 2025"/>
        <s v="Feb 2025"/>
        <s v="Mar 2025"/>
        <s v="Apr 2025"/>
        <s v="May 2025"/>
        <s v="Jun 2025"/>
      </sharedItems>
    </cacheField>
    <cacheField name="City" numFmtId="0">
      <sharedItems count="3">
        <s v="Bengaluru"/>
        <s v="Mumbai"/>
        <s v="Hyderabad"/>
      </sharedItems>
    </cacheField>
    <cacheField name="Type" numFmtId="0">
      <sharedItems count="4">
        <s v="Revenue"/>
        <s v="OpEx"/>
        <s v="Overhead"/>
        <s v="Target"/>
      </sharedItems>
    </cacheField>
    <cacheField name="Sub-Category" numFmtId="0">
      <sharedItems/>
    </cacheField>
    <cacheField name="Amount (₹)" numFmtId="164">
      <sharedItems containsSemiMixedTypes="0" containsString="0" containsNumber="1" containsInteger="1" minValue="8485" maxValue="44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6">
  <r>
    <x v="0"/>
    <x v="0"/>
    <x v="0"/>
    <s v="Ride Revenue"/>
    <n v="257856"/>
  </r>
  <r>
    <x v="0"/>
    <x v="0"/>
    <x v="0"/>
    <s v="Subscription Revenue"/>
    <n v="105735"/>
  </r>
  <r>
    <x v="0"/>
    <x v="0"/>
    <x v="0"/>
    <s v="Corporate Tie-ups"/>
    <n v="40531"/>
  </r>
  <r>
    <x v="0"/>
    <x v="0"/>
    <x v="1"/>
    <s v="Agent Payouts"/>
    <n v="85018"/>
  </r>
  <r>
    <x v="0"/>
    <x v="0"/>
    <x v="1"/>
    <s v="Maintenance &amp; Repairs"/>
    <n v="61005"/>
  </r>
  <r>
    <x v="0"/>
    <x v="0"/>
    <x v="1"/>
    <s v="Fuel &amp; Charging"/>
    <n v="34944"/>
  </r>
  <r>
    <x v="0"/>
    <x v="0"/>
    <x v="2"/>
    <s v="Office Rent"/>
    <n v="23482"/>
  </r>
  <r>
    <x v="0"/>
    <x v="0"/>
    <x v="2"/>
    <s v="Marketing Spend"/>
    <n v="21522"/>
  </r>
  <r>
    <x v="0"/>
    <x v="0"/>
    <x v="2"/>
    <s v="Software &amp; Tools"/>
    <n v="13332"/>
  </r>
  <r>
    <x v="0"/>
    <x v="0"/>
    <x v="3"/>
    <s v="Revenue Target"/>
    <n v="441000"/>
  </r>
  <r>
    <x v="0"/>
    <x v="0"/>
    <x v="3"/>
    <s v="OpEx Target"/>
    <n v="171000"/>
  </r>
  <r>
    <x v="0"/>
    <x v="0"/>
    <x v="3"/>
    <s v="Overhead Target"/>
    <n v="55200"/>
  </r>
  <r>
    <x v="0"/>
    <x v="1"/>
    <x v="0"/>
    <s v="Ride Revenue"/>
    <n v="210132"/>
  </r>
  <r>
    <x v="0"/>
    <x v="1"/>
    <x v="0"/>
    <s v="Subscription Revenue"/>
    <n v="100816"/>
  </r>
  <r>
    <x v="0"/>
    <x v="1"/>
    <x v="0"/>
    <s v="Corporate Tie-ups"/>
    <n v="41922"/>
  </r>
  <r>
    <x v="0"/>
    <x v="1"/>
    <x v="1"/>
    <s v="Agent Payouts"/>
    <n v="79214"/>
  </r>
  <r>
    <x v="0"/>
    <x v="1"/>
    <x v="1"/>
    <s v="Maintenance &amp; Repairs"/>
    <n v="51784"/>
  </r>
  <r>
    <x v="0"/>
    <x v="1"/>
    <x v="1"/>
    <s v="Fuel &amp; Charging"/>
    <n v="33598"/>
  </r>
  <r>
    <x v="0"/>
    <x v="1"/>
    <x v="2"/>
    <s v="Office Rent"/>
    <n v="19998"/>
  </r>
  <r>
    <x v="0"/>
    <x v="1"/>
    <x v="2"/>
    <s v="Marketing Spend"/>
    <n v="20462"/>
  </r>
  <r>
    <x v="0"/>
    <x v="1"/>
    <x v="2"/>
    <s v="Software &amp; Tools"/>
    <n v="13141"/>
  </r>
  <r>
    <x v="0"/>
    <x v="1"/>
    <x v="3"/>
    <s v="Revenue Target"/>
    <n v="399000"/>
  </r>
  <r>
    <x v="0"/>
    <x v="1"/>
    <x v="3"/>
    <s v="OpEx Target"/>
    <n v="166250"/>
  </r>
  <r>
    <x v="0"/>
    <x v="1"/>
    <x v="3"/>
    <s v="Overhead Target"/>
    <n v="50600"/>
  </r>
  <r>
    <x v="0"/>
    <x v="2"/>
    <x v="0"/>
    <s v="Ride Revenue"/>
    <n v="195592"/>
  </r>
  <r>
    <x v="0"/>
    <x v="2"/>
    <x v="0"/>
    <s v="Subscription Revenue"/>
    <n v="77641"/>
  </r>
  <r>
    <x v="0"/>
    <x v="2"/>
    <x v="0"/>
    <s v="Corporate Tie-ups"/>
    <n v="39788"/>
  </r>
  <r>
    <x v="0"/>
    <x v="2"/>
    <x v="1"/>
    <s v="Agent Payouts"/>
    <n v="72774"/>
  </r>
  <r>
    <x v="0"/>
    <x v="2"/>
    <x v="1"/>
    <s v="Maintenance &amp; Repairs"/>
    <n v="43011"/>
  </r>
  <r>
    <x v="0"/>
    <x v="2"/>
    <x v="1"/>
    <s v="Fuel &amp; Charging"/>
    <n v="21341"/>
  </r>
  <r>
    <x v="0"/>
    <x v="2"/>
    <x v="2"/>
    <s v="Office Rent"/>
    <n v="17846"/>
  </r>
  <r>
    <x v="0"/>
    <x v="2"/>
    <x v="2"/>
    <s v="Marketing Spend"/>
    <n v="17265"/>
  </r>
  <r>
    <x v="0"/>
    <x v="2"/>
    <x v="2"/>
    <s v="Software &amp; Tools"/>
    <n v="8517"/>
  </r>
  <r>
    <x v="0"/>
    <x v="2"/>
    <x v="3"/>
    <s v="Revenue Target"/>
    <n v="325500"/>
  </r>
  <r>
    <x v="0"/>
    <x v="2"/>
    <x v="3"/>
    <s v="OpEx Target"/>
    <n v="133000"/>
  </r>
  <r>
    <x v="0"/>
    <x v="2"/>
    <x v="3"/>
    <s v="Overhead Target"/>
    <n v="41400"/>
  </r>
  <r>
    <x v="1"/>
    <x v="0"/>
    <x v="0"/>
    <s v="Ride Revenue"/>
    <n v="235062"/>
  </r>
  <r>
    <x v="1"/>
    <x v="0"/>
    <x v="0"/>
    <s v="Subscription Revenue"/>
    <n v="129916"/>
  </r>
  <r>
    <x v="1"/>
    <x v="0"/>
    <x v="0"/>
    <s v="Corporate Tie-ups"/>
    <n v="48814"/>
  </r>
  <r>
    <x v="1"/>
    <x v="0"/>
    <x v="1"/>
    <s v="Agent Payouts"/>
    <n v="95528"/>
  </r>
  <r>
    <x v="1"/>
    <x v="0"/>
    <x v="1"/>
    <s v="Maintenance &amp; Repairs"/>
    <n v="60908"/>
  </r>
  <r>
    <x v="1"/>
    <x v="0"/>
    <x v="1"/>
    <s v="Fuel &amp; Charging"/>
    <n v="32922"/>
  </r>
  <r>
    <x v="1"/>
    <x v="0"/>
    <x v="2"/>
    <s v="Office Rent"/>
    <n v="23871"/>
  </r>
  <r>
    <x v="1"/>
    <x v="0"/>
    <x v="2"/>
    <s v="Marketing Spend"/>
    <n v="23271"/>
  </r>
  <r>
    <x v="1"/>
    <x v="0"/>
    <x v="2"/>
    <s v="Software &amp; Tools"/>
    <n v="14112"/>
  </r>
  <r>
    <x v="1"/>
    <x v="0"/>
    <x v="3"/>
    <s v="Revenue Target"/>
    <n v="441000"/>
  </r>
  <r>
    <x v="1"/>
    <x v="0"/>
    <x v="3"/>
    <s v="OpEx Target"/>
    <n v="171000"/>
  </r>
  <r>
    <x v="1"/>
    <x v="0"/>
    <x v="3"/>
    <s v="Overhead Target"/>
    <n v="55200"/>
  </r>
  <r>
    <x v="1"/>
    <x v="1"/>
    <x v="0"/>
    <s v="Ride Revenue"/>
    <n v="240517"/>
  </r>
  <r>
    <x v="1"/>
    <x v="1"/>
    <x v="0"/>
    <s v="Subscription Revenue"/>
    <n v="111453"/>
  </r>
  <r>
    <x v="1"/>
    <x v="1"/>
    <x v="0"/>
    <s v="Corporate Tie-ups"/>
    <n v="50047"/>
  </r>
  <r>
    <x v="1"/>
    <x v="1"/>
    <x v="1"/>
    <s v="Agent Payouts"/>
    <n v="88854"/>
  </r>
  <r>
    <x v="1"/>
    <x v="1"/>
    <x v="1"/>
    <s v="Maintenance &amp; Repairs"/>
    <n v="58864"/>
  </r>
  <r>
    <x v="1"/>
    <x v="1"/>
    <x v="1"/>
    <s v="Fuel &amp; Charging"/>
    <n v="25142"/>
  </r>
  <r>
    <x v="1"/>
    <x v="1"/>
    <x v="2"/>
    <s v="Office Rent"/>
    <n v="18603"/>
  </r>
  <r>
    <x v="1"/>
    <x v="1"/>
    <x v="2"/>
    <s v="Marketing Spend"/>
    <n v="20842"/>
  </r>
  <r>
    <x v="1"/>
    <x v="1"/>
    <x v="2"/>
    <s v="Software &amp; Tools"/>
    <n v="10339"/>
  </r>
  <r>
    <x v="1"/>
    <x v="1"/>
    <x v="3"/>
    <s v="Revenue Target"/>
    <n v="399000"/>
  </r>
  <r>
    <x v="1"/>
    <x v="1"/>
    <x v="3"/>
    <s v="OpEx Target"/>
    <n v="166250"/>
  </r>
  <r>
    <x v="1"/>
    <x v="1"/>
    <x v="3"/>
    <s v="Overhead Target"/>
    <n v="50600"/>
  </r>
  <r>
    <x v="1"/>
    <x v="2"/>
    <x v="0"/>
    <s v="Ride Revenue"/>
    <n v="177717"/>
  </r>
  <r>
    <x v="1"/>
    <x v="2"/>
    <x v="0"/>
    <s v="Subscription Revenue"/>
    <n v="79692"/>
  </r>
  <r>
    <x v="1"/>
    <x v="2"/>
    <x v="0"/>
    <s v="Corporate Tie-ups"/>
    <n v="29970"/>
  </r>
  <r>
    <x v="1"/>
    <x v="2"/>
    <x v="1"/>
    <s v="Agent Payouts"/>
    <n v="71900"/>
  </r>
  <r>
    <x v="1"/>
    <x v="2"/>
    <x v="1"/>
    <s v="Maintenance &amp; Repairs"/>
    <n v="43286"/>
  </r>
  <r>
    <x v="1"/>
    <x v="2"/>
    <x v="1"/>
    <s v="Fuel &amp; Charging"/>
    <n v="23746"/>
  </r>
  <r>
    <x v="1"/>
    <x v="2"/>
    <x v="2"/>
    <s v="Office Rent"/>
    <n v="15154"/>
  </r>
  <r>
    <x v="1"/>
    <x v="2"/>
    <x v="2"/>
    <s v="Marketing Spend"/>
    <n v="16951"/>
  </r>
  <r>
    <x v="1"/>
    <x v="2"/>
    <x v="2"/>
    <s v="Software &amp; Tools"/>
    <n v="12315"/>
  </r>
  <r>
    <x v="1"/>
    <x v="2"/>
    <x v="3"/>
    <s v="Revenue Target"/>
    <n v="325500"/>
  </r>
  <r>
    <x v="1"/>
    <x v="2"/>
    <x v="3"/>
    <s v="OpEx Target"/>
    <n v="133000"/>
  </r>
  <r>
    <x v="1"/>
    <x v="2"/>
    <x v="3"/>
    <s v="Overhead Target"/>
    <n v="41400"/>
  </r>
  <r>
    <x v="2"/>
    <x v="0"/>
    <x v="0"/>
    <s v="Ride Revenue"/>
    <n v="258217"/>
  </r>
  <r>
    <x v="2"/>
    <x v="0"/>
    <x v="0"/>
    <s v="Subscription Revenue"/>
    <n v="122908"/>
  </r>
  <r>
    <x v="2"/>
    <x v="0"/>
    <x v="0"/>
    <s v="Corporate Tie-ups"/>
    <n v="37913"/>
  </r>
  <r>
    <x v="2"/>
    <x v="0"/>
    <x v="1"/>
    <s v="Agent Payouts"/>
    <n v="94124"/>
  </r>
  <r>
    <x v="2"/>
    <x v="0"/>
    <x v="1"/>
    <s v="Maintenance &amp; Repairs"/>
    <n v="52753"/>
  </r>
  <r>
    <x v="2"/>
    <x v="0"/>
    <x v="1"/>
    <s v="Fuel &amp; Charging"/>
    <n v="30664"/>
  </r>
  <r>
    <x v="2"/>
    <x v="0"/>
    <x v="2"/>
    <s v="Office Rent"/>
    <n v="23950"/>
  </r>
  <r>
    <x v="2"/>
    <x v="0"/>
    <x v="2"/>
    <s v="Marketing Spend"/>
    <n v="24840"/>
  </r>
  <r>
    <x v="2"/>
    <x v="0"/>
    <x v="2"/>
    <s v="Software &amp; Tools"/>
    <n v="14142"/>
  </r>
  <r>
    <x v="2"/>
    <x v="0"/>
    <x v="3"/>
    <s v="Revenue Target"/>
    <n v="441000"/>
  </r>
  <r>
    <x v="2"/>
    <x v="0"/>
    <x v="3"/>
    <s v="OpEx Target"/>
    <n v="171000"/>
  </r>
  <r>
    <x v="2"/>
    <x v="0"/>
    <x v="3"/>
    <s v="Overhead Target"/>
    <n v="55200"/>
  </r>
  <r>
    <x v="2"/>
    <x v="1"/>
    <x v="0"/>
    <s v="Ride Revenue"/>
    <n v="235015"/>
  </r>
  <r>
    <x v="2"/>
    <x v="1"/>
    <x v="0"/>
    <s v="Subscription Revenue"/>
    <n v="117420"/>
  </r>
  <r>
    <x v="2"/>
    <x v="1"/>
    <x v="0"/>
    <s v="Corporate Tie-ups"/>
    <n v="48093"/>
  </r>
  <r>
    <x v="2"/>
    <x v="1"/>
    <x v="1"/>
    <s v="Agent Payouts"/>
    <n v="82758"/>
  </r>
  <r>
    <x v="2"/>
    <x v="1"/>
    <x v="1"/>
    <s v="Maintenance &amp; Repairs"/>
    <n v="49449"/>
  </r>
  <r>
    <x v="2"/>
    <x v="1"/>
    <x v="1"/>
    <s v="Fuel &amp; Charging"/>
    <n v="28916"/>
  </r>
  <r>
    <x v="2"/>
    <x v="1"/>
    <x v="2"/>
    <s v="Office Rent"/>
    <n v="18778"/>
  </r>
  <r>
    <x v="2"/>
    <x v="1"/>
    <x v="2"/>
    <s v="Marketing Spend"/>
    <n v="20410"/>
  </r>
  <r>
    <x v="2"/>
    <x v="1"/>
    <x v="2"/>
    <s v="Software &amp; Tools"/>
    <n v="15086"/>
  </r>
  <r>
    <x v="2"/>
    <x v="1"/>
    <x v="3"/>
    <s v="Revenue Target"/>
    <n v="399000"/>
  </r>
  <r>
    <x v="2"/>
    <x v="1"/>
    <x v="3"/>
    <s v="OpEx Target"/>
    <n v="166250"/>
  </r>
  <r>
    <x v="2"/>
    <x v="1"/>
    <x v="3"/>
    <s v="Overhead Target"/>
    <n v="50600"/>
  </r>
  <r>
    <x v="2"/>
    <x v="2"/>
    <x v="0"/>
    <s v="Ride Revenue"/>
    <n v="197667"/>
  </r>
  <r>
    <x v="2"/>
    <x v="2"/>
    <x v="0"/>
    <s v="Subscription Revenue"/>
    <n v="84329"/>
  </r>
  <r>
    <x v="2"/>
    <x v="2"/>
    <x v="0"/>
    <s v="Corporate Tie-ups"/>
    <n v="36991"/>
  </r>
  <r>
    <x v="2"/>
    <x v="2"/>
    <x v="1"/>
    <s v="Agent Payouts"/>
    <n v="68539"/>
  </r>
  <r>
    <x v="2"/>
    <x v="2"/>
    <x v="1"/>
    <s v="Maintenance &amp; Repairs"/>
    <n v="49443"/>
  </r>
  <r>
    <x v="2"/>
    <x v="2"/>
    <x v="1"/>
    <s v="Fuel &amp; Charging"/>
    <n v="24739"/>
  </r>
  <r>
    <x v="2"/>
    <x v="2"/>
    <x v="2"/>
    <s v="Office Rent"/>
    <n v="15354"/>
  </r>
  <r>
    <x v="2"/>
    <x v="2"/>
    <x v="2"/>
    <s v="Marketing Spend"/>
    <n v="16860"/>
  </r>
  <r>
    <x v="2"/>
    <x v="2"/>
    <x v="2"/>
    <s v="Software &amp; Tools"/>
    <n v="10626"/>
  </r>
  <r>
    <x v="2"/>
    <x v="2"/>
    <x v="3"/>
    <s v="Revenue Target"/>
    <n v="325500"/>
  </r>
  <r>
    <x v="2"/>
    <x v="2"/>
    <x v="3"/>
    <s v="OpEx Target"/>
    <n v="133000"/>
  </r>
  <r>
    <x v="2"/>
    <x v="2"/>
    <x v="3"/>
    <s v="Overhead Target"/>
    <n v="41400"/>
  </r>
  <r>
    <x v="3"/>
    <x v="0"/>
    <x v="0"/>
    <s v="Ride Revenue"/>
    <n v="242035"/>
  </r>
  <r>
    <x v="3"/>
    <x v="0"/>
    <x v="0"/>
    <s v="Subscription Revenue"/>
    <n v="122187"/>
  </r>
  <r>
    <x v="3"/>
    <x v="0"/>
    <x v="0"/>
    <s v="Corporate Tie-ups"/>
    <n v="56225"/>
  </r>
  <r>
    <x v="3"/>
    <x v="0"/>
    <x v="1"/>
    <s v="Agent Payouts"/>
    <n v="88189"/>
  </r>
  <r>
    <x v="3"/>
    <x v="0"/>
    <x v="1"/>
    <s v="Maintenance &amp; Repairs"/>
    <n v="53558"/>
  </r>
  <r>
    <x v="3"/>
    <x v="0"/>
    <x v="1"/>
    <s v="Fuel &amp; Charging"/>
    <n v="39565"/>
  </r>
  <r>
    <x v="3"/>
    <x v="0"/>
    <x v="2"/>
    <s v="Office Rent"/>
    <n v="21646"/>
  </r>
  <r>
    <x v="3"/>
    <x v="0"/>
    <x v="2"/>
    <s v="Marketing Spend"/>
    <n v="21545"/>
  </r>
  <r>
    <x v="3"/>
    <x v="0"/>
    <x v="2"/>
    <s v="Software &amp; Tools"/>
    <n v="11083"/>
  </r>
  <r>
    <x v="3"/>
    <x v="0"/>
    <x v="3"/>
    <s v="Revenue Target"/>
    <n v="441000"/>
  </r>
  <r>
    <x v="3"/>
    <x v="0"/>
    <x v="3"/>
    <s v="OpEx Target"/>
    <n v="171000"/>
  </r>
  <r>
    <x v="3"/>
    <x v="0"/>
    <x v="3"/>
    <s v="Overhead Target"/>
    <n v="55200"/>
  </r>
  <r>
    <x v="3"/>
    <x v="1"/>
    <x v="0"/>
    <s v="Ride Revenue"/>
    <n v="213167"/>
  </r>
  <r>
    <x v="3"/>
    <x v="1"/>
    <x v="0"/>
    <s v="Subscription Revenue"/>
    <n v="111690"/>
  </r>
  <r>
    <x v="3"/>
    <x v="1"/>
    <x v="0"/>
    <s v="Corporate Tie-ups"/>
    <n v="48459"/>
  </r>
  <r>
    <x v="3"/>
    <x v="1"/>
    <x v="1"/>
    <s v="Agent Payouts"/>
    <n v="86138"/>
  </r>
  <r>
    <x v="3"/>
    <x v="1"/>
    <x v="1"/>
    <s v="Maintenance &amp; Repairs"/>
    <n v="49889"/>
  </r>
  <r>
    <x v="3"/>
    <x v="1"/>
    <x v="1"/>
    <s v="Fuel &amp; Charging"/>
    <n v="29843"/>
  </r>
  <r>
    <x v="3"/>
    <x v="1"/>
    <x v="2"/>
    <s v="Office Rent"/>
    <n v="21983"/>
  </r>
  <r>
    <x v="3"/>
    <x v="1"/>
    <x v="2"/>
    <s v="Marketing Spend"/>
    <n v="22160"/>
  </r>
  <r>
    <x v="3"/>
    <x v="1"/>
    <x v="2"/>
    <s v="Software &amp; Tools"/>
    <n v="15241"/>
  </r>
  <r>
    <x v="3"/>
    <x v="1"/>
    <x v="3"/>
    <s v="Revenue Target"/>
    <n v="399000"/>
  </r>
  <r>
    <x v="3"/>
    <x v="1"/>
    <x v="3"/>
    <s v="OpEx Target"/>
    <n v="166250"/>
  </r>
  <r>
    <x v="3"/>
    <x v="1"/>
    <x v="3"/>
    <s v="Overhead Target"/>
    <n v="50600"/>
  </r>
  <r>
    <x v="3"/>
    <x v="2"/>
    <x v="0"/>
    <s v="Ride Revenue"/>
    <n v="197184"/>
  </r>
  <r>
    <x v="3"/>
    <x v="2"/>
    <x v="0"/>
    <s v="Subscription Revenue"/>
    <n v="77749"/>
  </r>
  <r>
    <x v="3"/>
    <x v="2"/>
    <x v="0"/>
    <s v="Corporate Tie-ups"/>
    <n v="38205"/>
  </r>
  <r>
    <x v="3"/>
    <x v="2"/>
    <x v="1"/>
    <s v="Agent Payouts"/>
    <n v="72544"/>
  </r>
  <r>
    <x v="3"/>
    <x v="2"/>
    <x v="1"/>
    <s v="Maintenance &amp; Repairs"/>
    <n v="45214"/>
  </r>
  <r>
    <x v="3"/>
    <x v="2"/>
    <x v="1"/>
    <s v="Fuel &amp; Charging"/>
    <n v="22588"/>
  </r>
  <r>
    <x v="3"/>
    <x v="2"/>
    <x v="2"/>
    <s v="Office Rent"/>
    <n v="16707"/>
  </r>
  <r>
    <x v="3"/>
    <x v="2"/>
    <x v="2"/>
    <s v="Marketing Spend"/>
    <n v="16252"/>
  </r>
  <r>
    <x v="3"/>
    <x v="2"/>
    <x v="2"/>
    <s v="Software &amp; Tools"/>
    <n v="10056"/>
  </r>
  <r>
    <x v="3"/>
    <x v="2"/>
    <x v="3"/>
    <s v="Revenue Target"/>
    <n v="325500"/>
  </r>
  <r>
    <x v="3"/>
    <x v="2"/>
    <x v="3"/>
    <s v="OpEx Target"/>
    <n v="133000"/>
  </r>
  <r>
    <x v="3"/>
    <x v="2"/>
    <x v="3"/>
    <s v="Overhead Target"/>
    <n v="41400"/>
  </r>
  <r>
    <x v="4"/>
    <x v="0"/>
    <x v="0"/>
    <s v="Ride Revenue"/>
    <n v="250056"/>
  </r>
  <r>
    <x v="4"/>
    <x v="0"/>
    <x v="0"/>
    <s v="Subscription Revenue"/>
    <n v="133042"/>
  </r>
  <r>
    <x v="4"/>
    <x v="0"/>
    <x v="0"/>
    <s v="Corporate Tie-ups"/>
    <n v="55671"/>
  </r>
  <r>
    <x v="4"/>
    <x v="0"/>
    <x v="1"/>
    <s v="Agent Payouts"/>
    <n v="85741"/>
  </r>
  <r>
    <x v="4"/>
    <x v="0"/>
    <x v="1"/>
    <s v="Maintenance &amp; Repairs"/>
    <n v="57608"/>
  </r>
  <r>
    <x v="4"/>
    <x v="0"/>
    <x v="1"/>
    <s v="Fuel &amp; Charging"/>
    <n v="27773"/>
  </r>
  <r>
    <x v="4"/>
    <x v="0"/>
    <x v="2"/>
    <s v="Office Rent"/>
    <n v="23581"/>
  </r>
  <r>
    <x v="4"/>
    <x v="0"/>
    <x v="2"/>
    <s v="Marketing Spend"/>
    <n v="26223"/>
  </r>
  <r>
    <x v="4"/>
    <x v="0"/>
    <x v="2"/>
    <s v="Software &amp; Tools"/>
    <n v="12591"/>
  </r>
  <r>
    <x v="4"/>
    <x v="0"/>
    <x v="3"/>
    <s v="Revenue Target"/>
    <n v="441000"/>
  </r>
  <r>
    <x v="4"/>
    <x v="0"/>
    <x v="3"/>
    <s v="OpEx Target"/>
    <n v="171000"/>
  </r>
  <r>
    <x v="4"/>
    <x v="0"/>
    <x v="3"/>
    <s v="Overhead Target"/>
    <n v="55200"/>
  </r>
  <r>
    <x v="4"/>
    <x v="1"/>
    <x v="0"/>
    <s v="Ride Revenue"/>
    <n v="233280"/>
  </r>
  <r>
    <x v="4"/>
    <x v="1"/>
    <x v="0"/>
    <s v="Subscription Revenue"/>
    <n v="111199"/>
  </r>
  <r>
    <x v="4"/>
    <x v="1"/>
    <x v="0"/>
    <s v="Corporate Tie-ups"/>
    <n v="33885"/>
  </r>
  <r>
    <x v="4"/>
    <x v="1"/>
    <x v="1"/>
    <s v="Agent Payouts"/>
    <n v="92094"/>
  </r>
  <r>
    <x v="4"/>
    <x v="1"/>
    <x v="1"/>
    <s v="Maintenance &amp; Repairs"/>
    <n v="56551"/>
  </r>
  <r>
    <x v="4"/>
    <x v="1"/>
    <x v="1"/>
    <s v="Fuel &amp; Charging"/>
    <n v="35401"/>
  </r>
  <r>
    <x v="4"/>
    <x v="1"/>
    <x v="2"/>
    <s v="Office Rent"/>
    <n v="19934"/>
  </r>
  <r>
    <x v="4"/>
    <x v="1"/>
    <x v="2"/>
    <s v="Marketing Spend"/>
    <n v="19253"/>
  </r>
  <r>
    <x v="4"/>
    <x v="1"/>
    <x v="2"/>
    <s v="Software &amp; Tools"/>
    <n v="11683"/>
  </r>
  <r>
    <x v="4"/>
    <x v="1"/>
    <x v="3"/>
    <s v="Revenue Target"/>
    <n v="399000"/>
  </r>
  <r>
    <x v="4"/>
    <x v="1"/>
    <x v="3"/>
    <s v="OpEx Target"/>
    <n v="166250"/>
  </r>
  <r>
    <x v="4"/>
    <x v="1"/>
    <x v="3"/>
    <s v="Overhead Target"/>
    <n v="50600"/>
  </r>
  <r>
    <x v="4"/>
    <x v="2"/>
    <x v="0"/>
    <s v="Ride Revenue"/>
    <n v="171104"/>
  </r>
  <r>
    <x v="4"/>
    <x v="2"/>
    <x v="0"/>
    <s v="Subscription Revenue"/>
    <n v="97661"/>
  </r>
  <r>
    <x v="4"/>
    <x v="2"/>
    <x v="0"/>
    <s v="Corporate Tie-ups"/>
    <n v="41144"/>
  </r>
  <r>
    <x v="4"/>
    <x v="2"/>
    <x v="1"/>
    <s v="Agent Payouts"/>
    <n v="74643"/>
  </r>
  <r>
    <x v="4"/>
    <x v="2"/>
    <x v="1"/>
    <s v="Maintenance &amp; Repairs"/>
    <n v="42644"/>
  </r>
  <r>
    <x v="4"/>
    <x v="2"/>
    <x v="1"/>
    <s v="Fuel &amp; Charging"/>
    <n v="20249"/>
  </r>
  <r>
    <x v="4"/>
    <x v="2"/>
    <x v="2"/>
    <s v="Office Rent"/>
    <n v="17561"/>
  </r>
  <r>
    <x v="4"/>
    <x v="2"/>
    <x v="2"/>
    <s v="Marketing Spend"/>
    <n v="20011"/>
  </r>
  <r>
    <x v="4"/>
    <x v="2"/>
    <x v="2"/>
    <s v="Software &amp; Tools"/>
    <n v="8485"/>
  </r>
  <r>
    <x v="4"/>
    <x v="2"/>
    <x v="3"/>
    <s v="Revenue Target"/>
    <n v="325500"/>
  </r>
  <r>
    <x v="4"/>
    <x v="2"/>
    <x v="3"/>
    <s v="OpEx Target"/>
    <n v="133000"/>
  </r>
  <r>
    <x v="4"/>
    <x v="2"/>
    <x v="3"/>
    <s v="Overhead Target"/>
    <n v="41400"/>
  </r>
  <r>
    <x v="5"/>
    <x v="0"/>
    <x v="0"/>
    <s v="Ride Revenue"/>
    <n v="251412"/>
  </r>
  <r>
    <x v="5"/>
    <x v="0"/>
    <x v="0"/>
    <s v="Subscription Revenue"/>
    <n v="107035"/>
  </r>
  <r>
    <x v="5"/>
    <x v="0"/>
    <x v="0"/>
    <s v="Corporate Tie-ups"/>
    <n v="52767"/>
  </r>
  <r>
    <x v="5"/>
    <x v="0"/>
    <x v="1"/>
    <s v="Agent Payouts"/>
    <n v="94785"/>
  </r>
  <r>
    <x v="5"/>
    <x v="0"/>
    <x v="1"/>
    <s v="Maintenance &amp; Repairs"/>
    <n v="52249"/>
  </r>
  <r>
    <x v="5"/>
    <x v="0"/>
    <x v="1"/>
    <s v="Fuel &amp; Charging"/>
    <n v="32044"/>
  </r>
  <r>
    <x v="5"/>
    <x v="0"/>
    <x v="2"/>
    <s v="Office Rent"/>
    <n v="21839"/>
  </r>
  <r>
    <x v="5"/>
    <x v="0"/>
    <x v="2"/>
    <s v="Marketing Spend"/>
    <n v="22590"/>
  </r>
  <r>
    <x v="5"/>
    <x v="0"/>
    <x v="2"/>
    <s v="Software &amp; Tools"/>
    <n v="16035"/>
  </r>
  <r>
    <x v="5"/>
    <x v="0"/>
    <x v="3"/>
    <s v="Revenue Target"/>
    <n v="441000"/>
  </r>
  <r>
    <x v="5"/>
    <x v="0"/>
    <x v="3"/>
    <s v="OpEx Target"/>
    <n v="171000"/>
  </r>
  <r>
    <x v="5"/>
    <x v="0"/>
    <x v="3"/>
    <s v="Overhead Target"/>
    <n v="55200"/>
  </r>
  <r>
    <x v="5"/>
    <x v="1"/>
    <x v="0"/>
    <s v="Ride Revenue"/>
    <n v="225079"/>
  </r>
  <r>
    <x v="5"/>
    <x v="1"/>
    <x v="0"/>
    <s v="Subscription Revenue"/>
    <n v="100634"/>
  </r>
  <r>
    <x v="5"/>
    <x v="1"/>
    <x v="0"/>
    <s v="Corporate Tie-ups"/>
    <n v="42696"/>
  </r>
  <r>
    <x v="5"/>
    <x v="1"/>
    <x v="1"/>
    <s v="Agent Payouts"/>
    <n v="91524"/>
  </r>
  <r>
    <x v="5"/>
    <x v="1"/>
    <x v="1"/>
    <s v="Maintenance &amp; Repairs"/>
    <n v="51816"/>
  </r>
  <r>
    <x v="5"/>
    <x v="1"/>
    <x v="1"/>
    <s v="Fuel &amp; Charging"/>
    <n v="28864"/>
  </r>
  <r>
    <x v="5"/>
    <x v="1"/>
    <x v="2"/>
    <s v="Office Rent"/>
    <n v="21979"/>
  </r>
  <r>
    <x v="5"/>
    <x v="1"/>
    <x v="2"/>
    <s v="Marketing Spend"/>
    <n v="22824"/>
  </r>
  <r>
    <x v="5"/>
    <x v="1"/>
    <x v="2"/>
    <s v="Software &amp; Tools"/>
    <n v="12310"/>
  </r>
  <r>
    <x v="5"/>
    <x v="1"/>
    <x v="3"/>
    <s v="Revenue Target"/>
    <n v="399000"/>
  </r>
  <r>
    <x v="5"/>
    <x v="1"/>
    <x v="3"/>
    <s v="OpEx Target"/>
    <n v="166250"/>
  </r>
  <r>
    <x v="5"/>
    <x v="1"/>
    <x v="3"/>
    <s v="Overhead Target"/>
    <n v="50600"/>
  </r>
  <r>
    <x v="5"/>
    <x v="2"/>
    <x v="0"/>
    <s v="Ride Revenue"/>
    <n v="186545"/>
  </r>
  <r>
    <x v="5"/>
    <x v="2"/>
    <x v="0"/>
    <s v="Subscription Revenue"/>
    <n v="80126"/>
  </r>
  <r>
    <x v="5"/>
    <x v="2"/>
    <x v="0"/>
    <s v="Corporate Tie-ups"/>
    <n v="28979"/>
  </r>
  <r>
    <x v="5"/>
    <x v="2"/>
    <x v="1"/>
    <s v="Agent Payouts"/>
    <n v="67733"/>
  </r>
  <r>
    <x v="5"/>
    <x v="2"/>
    <x v="1"/>
    <s v="Maintenance &amp; Repairs"/>
    <n v="45789"/>
  </r>
  <r>
    <x v="5"/>
    <x v="2"/>
    <x v="1"/>
    <s v="Fuel &amp; Charging"/>
    <n v="22177"/>
  </r>
  <r>
    <x v="5"/>
    <x v="2"/>
    <x v="2"/>
    <s v="Office Rent"/>
    <n v="15193"/>
  </r>
  <r>
    <x v="5"/>
    <x v="2"/>
    <x v="2"/>
    <s v="Marketing Spend"/>
    <n v="16069"/>
  </r>
  <r>
    <x v="5"/>
    <x v="2"/>
    <x v="2"/>
    <s v="Software &amp; Tools"/>
    <n v="10940"/>
  </r>
  <r>
    <x v="5"/>
    <x v="2"/>
    <x v="3"/>
    <s v="Revenue Target"/>
    <n v="325500"/>
  </r>
  <r>
    <x v="5"/>
    <x v="2"/>
    <x v="3"/>
    <s v="OpEx Target"/>
    <n v="133000"/>
  </r>
  <r>
    <x v="5"/>
    <x v="2"/>
    <x v="3"/>
    <s v="Overhead Target"/>
    <n v="41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29" firstHeaderRow="1" firstDataRow="2" firstDataCol="1"/>
  <pivotFields count="5">
    <pivotField axis="axisRow" showAll="0">
      <items count="7">
        <item x="3"/>
        <item x="1"/>
        <item x="0"/>
        <item x="5"/>
        <item x="2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  <pivotField dataField="1" numFmtId="164" showAll="0"/>
  </pivotFields>
  <rowFields count="2">
    <field x="0"/>
    <field x="1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 (₹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8" firstHeaderRow="1" firstDataRow="2" firstDataCol="1"/>
  <pivotFields count="5"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  <pivotField dataField="1"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 (₹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9"/>
  <sheetViews>
    <sheetView workbookViewId="0">
      <selection activeCell="A6" sqref="A6"/>
    </sheetView>
  </sheetViews>
  <sheetFormatPr defaultRowHeight="14.5" x14ac:dyDescent="0.35"/>
  <cols>
    <col min="1" max="1" width="16.7265625" bestFit="1" customWidth="1"/>
    <col min="2" max="2" width="15.26953125" bestFit="1" customWidth="1"/>
    <col min="3" max="3" width="9" bestFit="1" customWidth="1"/>
    <col min="4" max="4" width="8" bestFit="1" customWidth="1"/>
    <col min="5" max="5" width="8.81640625" bestFit="1" customWidth="1"/>
    <col min="6" max="6" width="10.7265625" bestFit="1" customWidth="1"/>
  </cols>
  <sheetData>
    <row r="3" spans="1:6" x14ac:dyDescent="0.35">
      <c r="A3" s="48" t="s">
        <v>90</v>
      </c>
      <c r="B3" s="48" t="s">
        <v>89</v>
      </c>
    </row>
    <row r="4" spans="1:6" x14ac:dyDescent="0.35">
      <c r="A4" s="48" t="s">
        <v>87</v>
      </c>
      <c r="B4" t="s">
        <v>11</v>
      </c>
      <c r="C4" t="s">
        <v>15</v>
      </c>
      <c r="D4" t="s">
        <v>7</v>
      </c>
      <c r="E4" t="s">
        <v>19</v>
      </c>
      <c r="F4" t="s">
        <v>88</v>
      </c>
    </row>
    <row r="5" spans="1:6" x14ac:dyDescent="0.35">
      <c r="A5" s="49" t="s">
        <v>27</v>
      </c>
      <c r="B5" s="51">
        <v>487528</v>
      </c>
      <c r="C5" s="51">
        <v>156673</v>
      </c>
      <c r="D5" s="51">
        <v>1106901</v>
      </c>
      <c r="E5" s="51">
        <v>1782950</v>
      </c>
      <c r="F5" s="51">
        <v>3534052</v>
      </c>
    </row>
    <row r="6" spans="1:6" x14ac:dyDescent="0.35">
      <c r="A6" s="50" t="s">
        <v>6</v>
      </c>
      <c r="B6" s="51">
        <v>181312</v>
      </c>
      <c r="C6" s="51">
        <v>54274</v>
      </c>
      <c r="D6" s="51">
        <v>420447</v>
      </c>
      <c r="E6" s="51">
        <v>667200</v>
      </c>
      <c r="F6" s="51">
        <v>1323233</v>
      </c>
    </row>
    <row r="7" spans="1:6" x14ac:dyDescent="0.35">
      <c r="A7" s="50" t="s">
        <v>24</v>
      </c>
      <c r="B7" s="51">
        <v>140346</v>
      </c>
      <c r="C7" s="51">
        <v>43015</v>
      </c>
      <c r="D7" s="51">
        <v>313138</v>
      </c>
      <c r="E7" s="51">
        <v>499900</v>
      </c>
      <c r="F7" s="51">
        <v>996399</v>
      </c>
    </row>
    <row r="8" spans="1:6" x14ac:dyDescent="0.35">
      <c r="A8" s="50" t="s">
        <v>23</v>
      </c>
      <c r="B8" s="51">
        <v>165870</v>
      </c>
      <c r="C8" s="51">
        <v>59384</v>
      </c>
      <c r="D8" s="51">
        <v>373316</v>
      </c>
      <c r="E8" s="51">
        <v>615850</v>
      </c>
      <c r="F8" s="51">
        <v>1214420</v>
      </c>
    </row>
    <row r="9" spans="1:6" x14ac:dyDescent="0.35">
      <c r="A9" s="49" t="s">
        <v>25</v>
      </c>
      <c r="B9" s="51">
        <v>501150</v>
      </c>
      <c r="C9" s="51">
        <v>155458</v>
      </c>
      <c r="D9" s="51">
        <v>1103188</v>
      </c>
      <c r="E9" s="51">
        <v>1782950</v>
      </c>
      <c r="F9" s="51">
        <v>3542746</v>
      </c>
    </row>
    <row r="10" spans="1:6" x14ac:dyDescent="0.35">
      <c r="A10" s="50" t="s">
        <v>6</v>
      </c>
      <c r="B10" s="51">
        <v>189358</v>
      </c>
      <c r="C10" s="51">
        <v>61254</v>
      </c>
      <c r="D10" s="51">
        <v>413792</v>
      </c>
      <c r="E10" s="51">
        <v>667200</v>
      </c>
      <c r="F10" s="51">
        <v>1331604</v>
      </c>
    </row>
    <row r="11" spans="1:6" x14ac:dyDescent="0.35">
      <c r="A11" s="50" t="s">
        <v>24</v>
      </c>
      <c r="B11" s="51">
        <v>138932</v>
      </c>
      <c r="C11" s="51">
        <v>44420</v>
      </c>
      <c r="D11" s="51">
        <v>287379</v>
      </c>
      <c r="E11" s="51">
        <v>499900</v>
      </c>
      <c r="F11" s="51">
        <v>970631</v>
      </c>
    </row>
    <row r="12" spans="1:6" x14ac:dyDescent="0.35">
      <c r="A12" s="50" t="s">
        <v>23</v>
      </c>
      <c r="B12" s="51">
        <v>172860</v>
      </c>
      <c r="C12" s="51">
        <v>49784</v>
      </c>
      <c r="D12" s="51">
        <v>402017</v>
      </c>
      <c r="E12" s="51">
        <v>615850</v>
      </c>
      <c r="F12" s="51">
        <v>1240511</v>
      </c>
    </row>
    <row r="13" spans="1:6" x14ac:dyDescent="0.35">
      <c r="A13" s="49" t="s">
        <v>5</v>
      </c>
      <c r="B13" s="51">
        <v>482689</v>
      </c>
      <c r="C13" s="51">
        <v>155565</v>
      </c>
      <c r="D13" s="51">
        <v>1070013</v>
      </c>
      <c r="E13" s="51">
        <v>1782950</v>
      </c>
      <c r="F13" s="51">
        <v>3491217</v>
      </c>
    </row>
    <row r="14" spans="1:6" x14ac:dyDescent="0.35">
      <c r="A14" s="50" t="s">
        <v>6</v>
      </c>
      <c r="B14" s="51">
        <v>180967</v>
      </c>
      <c r="C14" s="51">
        <v>58336</v>
      </c>
      <c r="D14" s="51">
        <v>404122</v>
      </c>
      <c r="E14" s="51">
        <v>667200</v>
      </c>
      <c r="F14" s="51">
        <v>1310625</v>
      </c>
    </row>
    <row r="15" spans="1:6" x14ac:dyDescent="0.35">
      <c r="A15" s="50" t="s">
        <v>24</v>
      </c>
      <c r="B15" s="51">
        <v>137126</v>
      </c>
      <c r="C15" s="51">
        <v>43628</v>
      </c>
      <c r="D15" s="51">
        <v>313021</v>
      </c>
      <c r="E15" s="51">
        <v>499900</v>
      </c>
      <c r="F15" s="51">
        <v>993675</v>
      </c>
    </row>
    <row r="16" spans="1:6" x14ac:dyDescent="0.35">
      <c r="A16" s="50" t="s">
        <v>23</v>
      </c>
      <c r="B16" s="51">
        <v>164596</v>
      </c>
      <c r="C16" s="51">
        <v>53601</v>
      </c>
      <c r="D16" s="51">
        <v>352870</v>
      </c>
      <c r="E16" s="51">
        <v>615850</v>
      </c>
      <c r="F16" s="51">
        <v>1186917</v>
      </c>
    </row>
    <row r="17" spans="1:6" x14ac:dyDescent="0.35">
      <c r="A17" s="49" t="s">
        <v>29</v>
      </c>
      <c r="B17" s="51">
        <v>486981</v>
      </c>
      <c r="C17" s="51">
        <v>159779</v>
      </c>
      <c r="D17" s="51">
        <v>1075273</v>
      </c>
      <c r="E17" s="51">
        <v>1782950</v>
      </c>
      <c r="F17" s="51">
        <v>3504983</v>
      </c>
    </row>
    <row r="18" spans="1:6" x14ac:dyDescent="0.35">
      <c r="A18" s="50" t="s">
        <v>6</v>
      </c>
      <c r="B18" s="51">
        <v>179078</v>
      </c>
      <c r="C18" s="51">
        <v>60464</v>
      </c>
      <c r="D18" s="51">
        <v>411214</v>
      </c>
      <c r="E18" s="51">
        <v>667200</v>
      </c>
      <c r="F18" s="51">
        <v>1317956</v>
      </c>
    </row>
    <row r="19" spans="1:6" x14ac:dyDescent="0.35">
      <c r="A19" s="50" t="s">
        <v>24</v>
      </c>
      <c r="B19" s="51">
        <v>135699</v>
      </c>
      <c r="C19" s="51">
        <v>42202</v>
      </c>
      <c r="D19" s="51">
        <v>295650</v>
      </c>
      <c r="E19" s="51">
        <v>499900</v>
      </c>
      <c r="F19" s="51">
        <v>973451</v>
      </c>
    </row>
    <row r="20" spans="1:6" x14ac:dyDescent="0.35">
      <c r="A20" s="50" t="s">
        <v>23</v>
      </c>
      <c r="B20" s="51">
        <v>172204</v>
      </c>
      <c r="C20" s="51">
        <v>57113</v>
      </c>
      <c r="D20" s="51">
        <v>368409</v>
      </c>
      <c r="E20" s="51">
        <v>615850</v>
      </c>
      <c r="F20" s="51">
        <v>1213576</v>
      </c>
    </row>
    <row r="21" spans="1:6" x14ac:dyDescent="0.35">
      <c r="A21" s="49" t="s">
        <v>26</v>
      </c>
      <c r="B21" s="51">
        <v>481385</v>
      </c>
      <c r="C21" s="51">
        <v>160046</v>
      </c>
      <c r="D21" s="51">
        <v>1138553</v>
      </c>
      <c r="E21" s="51">
        <v>1782950</v>
      </c>
      <c r="F21" s="51">
        <v>3562934</v>
      </c>
    </row>
    <row r="22" spans="1:6" x14ac:dyDescent="0.35">
      <c r="A22" s="50" t="s">
        <v>6</v>
      </c>
      <c r="B22" s="51">
        <v>177541</v>
      </c>
      <c r="C22" s="51">
        <v>62932</v>
      </c>
      <c r="D22" s="51">
        <v>419038</v>
      </c>
      <c r="E22" s="51">
        <v>667200</v>
      </c>
      <c r="F22" s="51">
        <v>1326711</v>
      </c>
    </row>
    <row r="23" spans="1:6" x14ac:dyDescent="0.35">
      <c r="A23" s="50" t="s">
        <v>24</v>
      </c>
      <c r="B23" s="51">
        <v>142721</v>
      </c>
      <c r="C23" s="51">
        <v>42840</v>
      </c>
      <c r="D23" s="51">
        <v>318987</v>
      </c>
      <c r="E23" s="51">
        <v>499900</v>
      </c>
      <c r="F23" s="51">
        <v>1004448</v>
      </c>
    </row>
    <row r="24" spans="1:6" x14ac:dyDescent="0.35">
      <c r="A24" s="50" t="s">
        <v>23</v>
      </c>
      <c r="B24" s="51">
        <v>161123</v>
      </c>
      <c r="C24" s="51">
        <v>54274</v>
      </c>
      <c r="D24" s="51">
        <v>400528</v>
      </c>
      <c r="E24" s="51">
        <v>615850</v>
      </c>
      <c r="F24" s="51">
        <v>1231775</v>
      </c>
    </row>
    <row r="25" spans="1:6" x14ac:dyDescent="0.35">
      <c r="A25" s="49" t="s">
        <v>28</v>
      </c>
      <c r="B25" s="51">
        <v>492704</v>
      </c>
      <c r="C25" s="51">
        <v>159322</v>
      </c>
      <c r="D25" s="51">
        <v>1127042</v>
      </c>
      <c r="E25" s="51">
        <v>1782950</v>
      </c>
      <c r="F25" s="51">
        <v>3562018</v>
      </c>
    </row>
    <row r="26" spans="1:6" x14ac:dyDescent="0.35">
      <c r="A26" s="50" t="s">
        <v>6</v>
      </c>
      <c r="B26" s="51">
        <v>171122</v>
      </c>
      <c r="C26" s="51">
        <v>62395</v>
      </c>
      <c r="D26" s="51">
        <v>438769</v>
      </c>
      <c r="E26" s="51">
        <v>667200</v>
      </c>
      <c r="F26" s="51">
        <v>1339486</v>
      </c>
    </row>
    <row r="27" spans="1:6" x14ac:dyDescent="0.35">
      <c r="A27" s="50" t="s">
        <v>24</v>
      </c>
      <c r="B27" s="51">
        <v>137536</v>
      </c>
      <c r="C27" s="51">
        <v>46057</v>
      </c>
      <c r="D27" s="51">
        <v>309909</v>
      </c>
      <c r="E27" s="51">
        <v>499900</v>
      </c>
      <c r="F27" s="51">
        <v>993402</v>
      </c>
    </row>
    <row r="28" spans="1:6" x14ac:dyDescent="0.35">
      <c r="A28" s="50" t="s">
        <v>23</v>
      </c>
      <c r="B28" s="51">
        <v>184046</v>
      </c>
      <c r="C28" s="51">
        <v>50870</v>
      </c>
      <c r="D28" s="51">
        <v>378364</v>
      </c>
      <c r="E28" s="51">
        <v>615850</v>
      </c>
      <c r="F28" s="51">
        <v>1229130</v>
      </c>
    </row>
    <row r="29" spans="1:6" x14ac:dyDescent="0.35">
      <c r="A29" s="49" t="s">
        <v>88</v>
      </c>
      <c r="B29" s="51">
        <v>2932437</v>
      </c>
      <c r="C29" s="51">
        <v>946843</v>
      </c>
      <c r="D29" s="51">
        <v>6620970</v>
      </c>
      <c r="E29" s="51">
        <v>10697700</v>
      </c>
      <c r="F29" s="51">
        <v>21197950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workbookViewId="0">
      <selection activeCell="A3" sqref="A3"/>
    </sheetView>
  </sheetViews>
  <sheetFormatPr defaultRowHeight="14.5" x14ac:dyDescent="0.35"/>
  <cols>
    <col min="1" max="1" width="16.7265625" bestFit="1" customWidth="1"/>
    <col min="2" max="2" width="15.26953125" bestFit="1" customWidth="1"/>
    <col min="3" max="3" width="9" bestFit="1" customWidth="1"/>
    <col min="4" max="4" width="8" customWidth="1"/>
    <col min="5" max="5" width="8.81640625" customWidth="1"/>
    <col min="6" max="6" width="10.7265625" bestFit="1" customWidth="1"/>
  </cols>
  <sheetData>
    <row r="3" spans="1:6" x14ac:dyDescent="0.35">
      <c r="A3" s="48" t="s">
        <v>90</v>
      </c>
      <c r="B3" s="48" t="s">
        <v>89</v>
      </c>
    </row>
    <row r="4" spans="1:6" x14ac:dyDescent="0.35">
      <c r="A4" s="48" t="s">
        <v>87</v>
      </c>
      <c r="B4" t="s">
        <v>11</v>
      </c>
      <c r="C4" t="s">
        <v>15</v>
      </c>
      <c r="D4" t="s">
        <v>7</v>
      </c>
      <c r="E4" t="s">
        <v>19</v>
      </c>
      <c r="F4" t="s">
        <v>88</v>
      </c>
    </row>
    <row r="5" spans="1:6" x14ac:dyDescent="0.35">
      <c r="A5" s="49" t="s">
        <v>6</v>
      </c>
      <c r="B5" s="51">
        <v>1079378</v>
      </c>
      <c r="C5" s="51">
        <v>359655</v>
      </c>
      <c r="D5" s="51">
        <v>2507382</v>
      </c>
      <c r="E5" s="51">
        <v>4003200</v>
      </c>
      <c r="F5" s="51">
        <v>7949615</v>
      </c>
    </row>
    <row r="6" spans="1:6" x14ac:dyDescent="0.35">
      <c r="A6" s="49" t="s">
        <v>24</v>
      </c>
      <c r="B6" s="51">
        <v>832360</v>
      </c>
      <c r="C6" s="51">
        <v>262162</v>
      </c>
      <c r="D6" s="51">
        <v>1838084</v>
      </c>
      <c r="E6" s="51">
        <v>2999400</v>
      </c>
      <c r="F6" s="51">
        <v>5932006</v>
      </c>
    </row>
    <row r="7" spans="1:6" x14ac:dyDescent="0.35">
      <c r="A7" s="49" t="s">
        <v>23</v>
      </c>
      <c r="B7" s="51">
        <v>1020699</v>
      </c>
      <c r="C7" s="51">
        <v>325026</v>
      </c>
      <c r="D7" s="51">
        <v>2275504</v>
      </c>
      <c r="E7" s="51">
        <v>3695100</v>
      </c>
      <c r="F7" s="51">
        <v>7316329</v>
      </c>
    </row>
    <row r="8" spans="1:6" x14ac:dyDescent="0.35">
      <c r="A8" s="49" t="s">
        <v>88</v>
      </c>
      <c r="B8" s="51">
        <v>2932437</v>
      </c>
      <c r="C8" s="51">
        <v>946843</v>
      </c>
      <c r="D8" s="51">
        <v>6620970</v>
      </c>
      <c r="E8" s="51">
        <v>10697700</v>
      </c>
      <c r="F8" s="51">
        <v>21197950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E217"/>
  <sheetViews>
    <sheetView showGridLines="0" tabSelected="1" zoomScaleNormal="100" workbookViewId="0"/>
  </sheetViews>
  <sheetFormatPr defaultColWidth="8.6328125" defaultRowHeight="14.5" x14ac:dyDescent="0.35"/>
  <cols>
    <col min="1" max="2" width="14" customWidth="1"/>
    <col min="3" max="3" width="12" customWidth="1"/>
    <col min="4" max="4" width="24" customWidth="1"/>
    <col min="5" max="5" width="16" customWidth="1"/>
  </cols>
  <sheetData>
    <row r="1" spans="1:5" ht="27.75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spans="1:5" x14ac:dyDescent="0.35">
      <c r="A2" s="16" t="s">
        <v>5</v>
      </c>
      <c r="B2" s="16" t="s">
        <v>6</v>
      </c>
      <c r="C2" s="16" t="s">
        <v>7</v>
      </c>
      <c r="D2" s="17" t="s">
        <v>8</v>
      </c>
      <c r="E2" s="18">
        <v>257856</v>
      </c>
    </row>
    <row r="3" spans="1:5" x14ac:dyDescent="0.35">
      <c r="A3" s="19" t="s">
        <v>5</v>
      </c>
      <c r="B3" s="19" t="s">
        <v>6</v>
      </c>
      <c r="C3" s="19" t="s">
        <v>7</v>
      </c>
      <c r="D3" s="20" t="s">
        <v>9</v>
      </c>
      <c r="E3" s="21">
        <v>105735</v>
      </c>
    </row>
    <row r="4" spans="1:5" x14ac:dyDescent="0.35">
      <c r="A4" s="16" t="s">
        <v>5</v>
      </c>
      <c r="B4" s="16" t="s">
        <v>6</v>
      </c>
      <c r="C4" s="16" t="s">
        <v>7</v>
      </c>
      <c r="D4" s="17" t="s">
        <v>10</v>
      </c>
      <c r="E4" s="18">
        <v>40531</v>
      </c>
    </row>
    <row r="5" spans="1:5" x14ac:dyDescent="0.35">
      <c r="A5" s="19" t="s">
        <v>5</v>
      </c>
      <c r="B5" s="19" t="s">
        <v>6</v>
      </c>
      <c r="C5" s="19" t="s">
        <v>11</v>
      </c>
      <c r="D5" s="20" t="s">
        <v>12</v>
      </c>
      <c r="E5" s="21">
        <v>85018</v>
      </c>
    </row>
    <row r="6" spans="1:5" x14ac:dyDescent="0.35">
      <c r="A6" s="16" t="s">
        <v>5</v>
      </c>
      <c r="B6" s="16" t="s">
        <v>6</v>
      </c>
      <c r="C6" s="16" t="s">
        <v>11</v>
      </c>
      <c r="D6" s="17" t="s">
        <v>13</v>
      </c>
      <c r="E6" s="18">
        <v>61005</v>
      </c>
    </row>
    <row r="7" spans="1:5" x14ac:dyDescent="0.35">
      <c r="A7" s="19" t="s">
        <v>5</v>
      </c>
      <c r="B7" s="19" t="s">
        <v>6</v>
      </c>
      <c r="C7" s="19" t="s">
        <v>11</v>
      </c>
      <c r="D7" s="20" t="s">
        <v>14</v>
      </c>
      <c r="E7" s="21">
        <v>34944</v>
      </c>
    </row>
    <row r="8" spans="1:5" x14ac:dyDescent="0.35">
      <c r="A8" s="16" t="s">
        <v>5</v>
      </c>
      <c r="B8" s="16" t="s">
        <v>6</v>
      </c>
      <c r="C8" s="16" t="s">
        <v>15</v>
      </c>
      <c r="D8" s="17" t="s">
        <v>16</v>
      </c>
      <c r="E8" s="18">
        <v>23482</v>
      </c>
    </row>
    <row r="9" spans="1:5" x14ac:dyDescent="0.35">
      <c r="A9" s="19" t="s">
        <v>5</v>
      </c>
      <c r="B9" s="19" t="s">
        <v>6</v>
      </c>
      <c r="C9" s="19" t="s">
        <v>15</v>
      </c>
      <c r="D9" s="20" t="s">
        <v>17</v>
      </c>
      <c r="E9" s="21">
        <v>21522</v>
      </c>
    </row>
    <row r="10" spans="1:5" x14ac:dyDescent="0.35">
      <c r="A10" s="16" t="s">
        <v>5</v>
      </c>
      <c r="B10" s="16" t="s">
        <v>6</v>
      </c>
      <c r="C10" s="16" t="s">
        <v>15</v>
      </c>
      <c r="D10" s="17" t="s">
        <v>18</v>
      </c>
      <c r="E10" s="18">
        <v>13332</v>
      </c>
    </row>
    <row r="11" spans="1:5" x14ac:dyDescent="0.35">
      <c r="A11" s="19" t="s">
        <v>5</v>
      </c>
      <c r="B11" s="19" t="s">
        <v>6</v>
      </c>
      <c r="C11" s="19" t="s">
        <v>19</v>
      </c>
      <c r="D11" s="20" t="s">
        <v>20</v>
      </c>
      <c r="E11" s="21">
        <v>441000</v>
      </c>
    </row>
    <row r="12" spans="1:5" x14ac:dyDescent="0.35">
      <c r="A12" s="16" t="s">
        <v>5</v>
      </c>
      <c r="B12" s="16" t="s">
        <v>6</v>
      </c>
      <c r="C12" s="16" t="s">
        <v>19</v>
      </c>
      <c r="D12" s="17" t="s">
        <v>21</v>
      </c>
      <c r="E12" s="18">
        <v>171000</v>
      </c>
    </row>
    <row r="13" spans="1:5" x14ac:dyDescent="0.35">
      <c r="A13" s="19" t="s">
        <v>5</v>
      </c>
      <c r="B13" s="19" t="s">
        <v>6</v>
      </c>
      <c r="C13" s="19" t="s">
        <v>19</v>
      </c>
      <c r="D13" s="20" t="s">
        <v>22</v>
      </c>
      <c r="E13" s="21">
        <v>55200</v>
      </c>
    </row>
    <row r="14" spans="1:5" x14ac:dyDescent="0.35">
      <c r="A14" s="16" t="s">
        <v>5</v>
      </c>
      <c r="B14" s="16" t="s">
        <v>23</v>
      </c>
      <c r="C14" s="16" t="s">
        <v>7</v>
      </c>
      <c r="D14" s="17" t="s">
        <v>8</v>
      </c>
      <c r="E14" s="18">
        <v>210132</v>
      </c>
    </row>
    <row r="15" spans="1:5" x14ac:dyDescent="0.35">
      <c r="A15" s="19" t="s">
        <v>5</v>
      </c>
      <c r="B15" s="19" t="s">
        <v>23</v>
      </c>
      <c r="C15" s="19" t="s">
        <v>7</v>
      </c>
      <c r="D15" s="20" t="s">
        <v>9</v>
      </c>
      <c r="E15" s="21">
        <v>100816</v>
      </c>
    </row>
    <row r="16" spans="1:5" x14ac:dyDescent="0.35">
      <c r="A16" s="16" t="s">
        <v>5</v>
      </c>
      <c r="B16" s="16" t="s">
        <v>23</v>
      </c>
      <c r="C16" s="16" t="s">
        <v>7</v>
      </c>
      <c r="D16" s="17" t="s">
        <v>10</v>
      </c>
      <c r="E16" s="18">
        <v>41922</v>
      </c>
    </row>
    <row r="17" spans="1:5" x14ac:dyDescent="0.35">
      <c r="A17" s="19" t="s">
        <v>5</v>
      </c>
      <c r="B17" s="19" t="s">
        <v>23</v>
      </c>
      <c r="C17" s="19" t="s">
        <v>11</v>
      </c>
      <c r="D17" s="20" t="s">
        <v>12</v>
      </c>
      <c r="E17" s="21">
        <v>79214</v>
      </c>
    </row>
    <row r="18" spans="1:5" x14ac:dyDescent="0.35">
      <c r="A18" s="16" t="s">
        <v>5</v>
      </c>
      <c r="B18" s="16" t="s">
        <v>23</v>
      </c>
      <c r="C18" s="16" t="s">
        <v>11</v>
      </c>
      <c r="D18" s="17" t="s">
        <v>13</v>
      </c>
      <c r="E18" s="18">
        <v>51784</v>
      </c>
    </row>
    <row r="19" spans="1:5" x14ac:dyDescent="0.35">
      <c r="A19" s="19" t="s">
        <v>5</v>
      </c>
      <c r="B19" s="19" t="s">
        <v>23</v>
      </c>
      <c r="C19" s="19" t="s">
        <v>11</v>
      </c>
      <c r="D19" s="20" t="s">
        <v>14</v>
      </c>
      <c r="E19" s="21">
        <v>33598</v>
      </c>
    </row>
    <row r="20" spans="1:5" x14ac:dyDescent="0.35">
      <c r="A20" s="16" t="s">
        <v>5</v>
      </c>
      <c r="B20" s="16" t="s">
        <v>23</v>
      </c>
      <c r="C20" s="16" t="s">
        <v>15</v>
      </c>
      <c r="D20" s="17" t="s">
        <v>16</v>
      </c>
      <c r="E20" s="18">
        <v>19998</v>
      </c>
    </row>
    <row r="21" spans="1:5" x14ac:dyDescent="0.35">
      <c r="A21" s="19" t="s">
        <v>5</v>
      </c>
      <c r="B21" s="19" t="s">
        <v>23</v>
      </c>
      <c r="C21" s="19" t="s">
        <v>15</v>
      </c>
      <c r="D21" s="20" t="s">
        <v>17</v>
      </c>
      <c r="E21" s="21">
        <v>20462</v>
      </c>
    </row>
    <row r="22" spans="1:5" x14ac:dyDescent="0.35">
      <c r="A22" s="16" t="s">
        <v>5</v>
      </c>
      <c r="B22" s="16" t="s">
        <v>23</v>
      </c>
      <c r="C22" s="16" t="s">
        <v>15</v>
      </c>
      <c r="D22" s="17" t="s">
        <v>18</v>
      </c>
      <c r="E22" s="18">
        <v>13141</v>
      </c>
    </row>
    <row r="23" spans="1:5" x14ac:dyDescent="0.35">
      <c r="A23" s="19" t="s">
        <v>5</v>
      </c>
      <c r="B23" s="19" t="s">
        <v>23</v>
      </c>
      <c r="C23" s="19" t="s">
        <v>19</v>
      </c>
      <c r="D23" s="20" t="s">
        <v>20</v>
      </c>
      <c r="E23" s="21">
        <v>399000</v>
      </c>
    </row>
    <row r="24" spans="1:5" x14ac:dyDescent="0.35">
      <c r="A24" s="16" t="s">
        <v>5</v>
      </c>
      <c r="B24" s="16" t="s">
        <v>23</v>
      </c>
      <c r="C24" s="16" t="s">
        <v>19</v>
      </c>
      <c r="D24" s="17" t="s">
        <v>21</v>
      </c>
      <c r="E24" s="18">
        <v>166250</v>
      </c>
    </row>
    <row r="25" spans="1:5" x14ac:dyDescent="0.35">
      <c r="A25" s="19" t="s">
        <v>5</v>
      </c>
      <c r="B25" s="19" t="s">
        <v>23</v>
      </c>
      <c r="C25" s="19" t="s">
        <v>19</v>
      </c>
      <c r="D25" s="20" t="s">
        <v>22</v>
      </c>
      <c r="E25" s="21">
        <v>50600</v>
      </c>
    </row>
    <row r="26" spans="1:5" x14ac:dyDescent="0.35">
      <c r="A26" s="16" t="s">
        <v>5</v>
      </c>
      <c r="B26" s="16" t="s">
        <v>24</v>
      </c>
      <c r="C26" s="16" t="s">
        <v>7</v>
      </c>
      <c r="D26" s="17" t="s">
        <v>8</v>
      </c>
      <c r="E26" s="18">
        <v>195592</v>
      </c>
    </row>
    <row r="27" spans="1:5" x14ac:dyDescent="0.35">
      <c r="A27" s="19" t="s">
        <v>5</v>
      </c>
      <c r="B27" s="19" t="s">
        <v>24</v>
      </c>
      <c r="C27" s="19" t="s">
        <v>7</v>
      </c>
      <c r="D27" s="20" t="s">
        <v>9</v>
      </c>
      <c r="E27" s="21">
        <v>77641</v>
      </c>
    </row>
    <row r="28" spans="1:5" x14ac:dyDescent="0.35">
      <c r="A28" s="16" t="s">
        <v>5</v>
      </c>
      <c r="B28" s="16" t="s">
        <v>24</v>
      </c>
      <c r="C28" s="16" t="s">
        <v>7</v>
      </c>
      <c r="D28" s="17" t="s">
        <v>10</v>
      </c>
      <c r="E28" s="18">
        <v>39788</v>
      </c>
    </row>
    <row r="29" spans="1:5" x14ac:dyDescent="0.35">
      <c r="A29" s="19" t="s">
        <v>5</v>
      </c>
      <c r="B29" s="19" t="s">
        <v>24</v>
      </c>
      <c r="C29" s="19" t="s">
        <v>11</v>
      </c>
      <c r="D29" s="20" t="s">
        <v>12</v>
      </c>
      <c r="E29" s="21">
        <v>72774</v>
      </c>
    </row>
    <row r="30" spans="1:5" x14ac:dyDescent="0.35">
      <c r="A30" s="16" t="s">
        <v>5</v>
      </c>
      <c r="B30" s="16" t="s">
        <v>24</v>
      </c>
      <c r="C30" s="16" t="s">
        <v>11</v>
      </c>
      <c r="D30" s="17" t="s">
        <v>13</v>
      </c>
      <c r="E30" s="18">
        <v>43011</v>
      </c>
    </row>
    <row r="31" spans="1:5" x14ac:dyDescent="0.35">
      <c r="A31" s="19" t="s">
        <v>5</v>
      </c>
      <c r="B31" s="19" t="s">
        <v>24</v>
      </c>
      <c r="C31" s="19" t="s">
        <v>11</v>
      </c>
      <c r="D31" s="20" t="s">
        <v>14</v>
      </c>
      <c r="E31" s="21">
        <v>21341</v>
      </c>
    </row>
    <row r="32" spans="1:5" x14ac:dyDescent="0.35">
      <c r="A32" s="16" t="s">
        <v>5</v>
      </c>
      <c r="B32" s="16" t="s">
        <v>24</v>
      </c>
      <c r="C32" s="16" t="s">
        <v>15</v>
      </c>
      <c r="D32" s="17" t="s">
        <v>16</v>
      </c>
      <c r="E32" s="18">
        <v>17846</v>
      </c>
    </row>
    <row r="33" spans="1:5" x14ac:dyDescent="0.35">
      <c r="A33" s="19" t="s">
        <v>5</v>
      </c>
      <c r="B33" s="19" t="s">
        <v>24</v>
      </c>
      <c r="C33" s="19" t="s">
        <v>15</v>
      </c>
      <c r="D33" s="20" t="s">
        <v>17</v>
      </c>
      <c r="E33" s="21">
        <v>17265</v>
      </c>
    </row>
    <row r="34" spans="1:5" x14ac:dyDescent="0.35">
      <c r="A34" s="16" t="s">
        <v>5</v>
      </c>
      <c r="B34" s="16" t="s">
        <v>24</v>
      </c>
      <c r="C34" s="16" t="s">
        <v>15</v>
      </c>
      <c r="D34" s="17" t="s">
        <v>18</v>
      </c>
      <c r="E34" s="18">
        <v>8517</v>
      </c>
    </row>
    <row r="35" spans="1:5" x14ac:dyDescent="0.35">
      <c r="A35" s="19" t="s">
        <v>5</v>
      </c>
      <c r="B35" s="19" t="s">
        <v>24</v>
      </c>
      <c r="C35" s="19" t="s">
        <v>19</v>
      </c>
      <c r="D35" s="20" t="s">
        <v>20</v>
      </c>
      <c r="E35" s="21">
        <v>325500</v>
      </c>
    </row>
    <row r="36" spans="1:5" x14ac:dyDescent="0.35">
      <c r="A36" s="16" t="s">
        <v>5</v>
      </c>
      <c r="B36" s="16" t="s">
        <v>24</v>
      </c>
      <c r="C36" s="16" t="s">
        <v>19</v>
      </c>
      <c r="D36" s="17" t="s">
        <v>21</v>
      </c>
      <c r="E36" s="18">
        <v>133000</v>
      </c>
    </row>
    <row r="37" spans="1:5" x14ac:dyDescent="0.35">
      <c r="A37" s="19" t="s">
        <v>5</v>
      </c>
      <c r="B37" s="19" t="s">
        <v>24</v>
      </c>
      <c r="C37" s="19" t="s">
        <v>19</v>
      </c>
      <c r="D37" s="20" t="s">
        <v>22</v>
      </c>
      <c r="E37" s="21">
        <v>41400</v>
      </c>
    </row>
    <row r="38" spans="1:5" x14ac:dyDescent="0.35">
      <c r="A38" s="16" t="s">
        <v>25</v>
      </c>
      <c r="B38" s="16" t="s">
        <v>6</v>
      </c>
      <c r="C38" s="16" t="s">
        <v>7</v>
      </c>
      <c r="D38" s="17" t="s">
        <v>8</v>
      </c>
      <c r="E38" s="18">
        <v>235062</v>
      </c>
    </row>
    <row r="39" spans="1:5" x14ac:dyDescent="0.35">
      <c r="A39" s="19" t="s">
        <v>25</v>
      </c>
      <c r="B39" s="19" t="s">
        <v>6</v>
      </c>
      <c r="C39" s="19" t="s">
        <v>7</v>
      </c>
      <c r="D39" s="20" t="s">
        <v>9</v>
      </c>
      <c r="E39" s="21">
        <v>129916</v>
      </c>
    </row>
    <row r="40" spans="1:5" x14ac:dyDescent="0.35">
      <c r="A40" s="16" t="s">
        <v>25</v>
      </c>
      <c r="B40" s="16" t="s">
        <v>6</v>
      </c>
      <c r="C40" s="16" t="s">
        <v>7</v>
      </c>
      <c r="D40" s="17" t="s">
        <v>10</v>
      </c>
      <c r="E40" s="18">
        <v>48814</v>
      </c>
    </row>
    <row r="41" spans="1:5" x14ac:dyDescent="0.35">
      <c r="A41" s="19" t="s">
        <v>25</v>
      </c>
      <c r="B41" s="19" t="s">
        <v>6</v>
      </c>
      <c r="C41" s="19" t="s">
        <v>11</v>
      </c>
      <c r="D41" s="20" t="s">
        <v>12</v>
      </c>
      <c r="E41" s="21">
        <v>95528</v>
      </c>
    </row>
    <row r="42" spans="1:5" x14ac:dyDescent="0.35">
      <c r="A42" s="16" t="s">
        <v>25</v>
      </c>
      <c r="B42" s="16" t="s">
        <v>6</v>
      </c>
      <c r="C42" s="16" t="s">
        <v>11</v>
      </c>
      <c r="D42" s="17" t="s">
        <v>13</v>
      </c>
      <c r="E42" s="18">
        <v>60908</v>
      </c>
    </row>
    <row r="43" spans="1:5" x14ac:dyDescent="0.35">
      <c r="A43" s="19" t="s">
        <v>25</v>
      </c>
      <c r="B43" s="19" t="s">
        <v>6</v>
      </c>
      <c r="C43" s="19" t="s">
        <v>11</v>
      </c>
      <c r="D43" s="20" t="s">
        <v>14</v>
      </c>
      <c r="E43" s="21">
        <v>32922</v>
      </c>
    </row>
    <row r="44" spans="1:5" x14ac:dyDescent="0.35">
      <c r="A44" s="16" t="s">
        <v>25</v>
      </c>
      <c r="B44" s="16" t="s">
        <v>6</v>
      </c>
      <c r="C44" s="16" t="s">
        <v>15</v>
      </c>
      <c r="D44" s="17" t="s">
        <v>16</v>
      </c>
      <c r="E44" s="18">
        <v>23871</v>
      </c>
    </row>
    <row r="45" spans="1:5" x14ac:dyDescent="0.35">
      <c r="A45" s="19" t="s">
        <v>25</v>
      </c>
      <c r="B45" s="19" t="s">
        <v>6</v>
      </c>
      <c r="C45" s="19" t="s">
        <v>15</v>
      </c>
      <c r="D45" s="20" t="s">
        <v>17</v>
      </c>
      <c r="E45" s="21">
        <v>23271</v>
      </c>
    </row>
    <row r="46" spans="1:5" x14ac:dyDescent="0.35">
      <c r="A46" s="16" t="s">
        <v>25</v>
      </c>
      <c r="B46" s="16" t="s">
        <v>6</v>
      </c>
      <c r="C46" s="16" t="s">
        <v>15</v>
      </c>
      <c r="D46" s="17" t="s">
        <v>18</v>
      </c>
      <c r="E46" s="18">
        <v>14112</v>
      </c>
    </row>
    <row r="47" spans="1:5" x14ac:dyDescent="0.35">
      <c r="A47" s="19" t="s">
        <v>25</v>
      </c>
      <c r="B47" s="19" t="s">
        <v>6</v>
      </c>
      <c r="C47" s="19" t="s">
        <v>19</v>
      </c>
      <c r="D47" s="20" t="s">
        <v>20</v>
      </c>
      <c r="E47" s="21">
        <v>441000</v>
      </c>
    </row>
    <row r="48" spans="1:5" x14ac:dyDescent="0.35">
      <c r="A48" s="16" t="s">
        <v>25</v>
      </c>
      <c r="B48" s="16" t="s">
        <v>6</v>
      </c>
      <c r="C48" s="16" t="s">
        <v>19</v>
      </c>
      <c r="D48" s="17" t="s">
        <v>21</v>
      </c>
      <c r="E48" s="18">
        <v>171000</v>
      </c>
    </row>
    <row r="49" spans="1:5" x14ac:dyDescent="0.35">
      <c r="A49" s="19" t="s">
        <v>25</v>
      </c>
      <c r="B49" s="19" t="s">
        <v>6</v>
      </c>
      <c r="C49" s="19" t="s">
        <v>19</v>
      </c>
      <c r="D49" s="20" t="s">
        <v>22</v>
      </c>
      <c r="E49" s="21">
        <v>55200</v>
      </c>
    </row>
    <row r="50" spans="1:5" x14ac:dyDescent="0.35">
      <c r="A50" s="16" t="s">
        <v>25</v>
      </c>
      <c r="B50" s="16" t="s">
        <v>23</v>
      </c>
      <c r="C50" s="16" t="s">
        <v>7</v>
      </c>
      <c r="D50" s="17" t="s">
        <v>8</v>
      </c>
      <c r="E50" s="18">
        <v>240517</v>
      </c>
    </row>
    <row r="51" spans="1:5" x14ac:dyDescent="0.35">
      <c r="A51" s="19" t="s">
        <v>25</v>
      </c>
      <c r="B51" s="19" t="s">
        <v>23</v>
      </c>
      <c r="C51" s="19" t="s">
        <v>7</v>
      </c>
      <c r="D51" s="20" t="s">
        <v>9</v>
      </c>
      <c r="E51" s="21">
        <v>111453</v>
      </c>
    </row>
    <row r="52" spans="1:5" x14ac:dyDescent="0.35">
      <c r="A52" s="16" t="s">
        <v>25</v>
      </c>
      <c r="B52" s="16" t="s">
        <v>23</v>
      </c>
      <c r="C52" s="16" t="s">
        <v>7</v>
      </c>
      <c r="D52" s="17" t="s">
        <v>10</v>
      </c>
      <c r="E52" s="18">
        <v>50047</v>
      </c>
    </row>
    <row r="53" spans="1:5" x14ac:dyDescent="0.35">
      <c r="A53" s="19" t="s">
        <v>25</v>
      </c>
      <c r="B53" s="19" t="s">
        <v>23</v>
      </c>
      <c r="C53" s="19" t="s">
        <v>11</v>
      </c>
      <c r="D53" s="20" t="s">
        <v>12</v>
      </c>
      <c r="E53" s="21">
        <v>88854</v>
      </c>
    </row>
    <row r="54" spans="1:5" x14ac:dyDescent="0.35">
      <c r="A54" s="16" t="s">
        <v>25</v>
      </c>
      <c r="B54" s="16" t="s">
        <v>23</v>
      </c>
      <c r="C54" s="16" t="s">
        <v>11</v>
      </c>
      <c r="D54" s="17" t="s">
        <v>13</v>
      </c>
      <c r="E54" s="18">
        <v>58864</v>
      </c>
    </row>
    <row r="55" spans="1:5" x14ac:dyDescent="0.35">
      <c r="A55" s="19" t="s">
        <v>25</v>
      </c>
      <c r="B55" s="19" t="s">
        <v>23</v>
      </c>
      <c r="C55" s="19" t="s">
        <v>11</v>
      </c>
      <c r="D55" s="20" t="s">
        <v>14</v>
      </c>
      <c r="E55" s="21">
        <v>25142</v>
      </c>
    </row>
    <row r="56" spans="1:5" x14ac:dyDescent="0.35">
      <c r="A56" s="16" t="s">
        <v>25</v>
      </c>
      <c r="B56" s="16" t="s">
        <v>23</v>
      </c>
      <c r="C56" s="16" t="s">
        <v>15</v>
      </c>
      <c r="D56" s="17" t="s">
        <v>16</v>
      </c>
      <c r="E56" s="18">
        <v>18603</v>
      </c>
    </row>
    <row r="57" spans="1:5" x14ac:dyDescent="0.35">
      <c r="A57" s="19" t="s">
        <v>25</v>
      </c>
      <c r="B57" s="19" t="s">
        <v>23</v>
      </c>
      <c r="C57" s="19" t="s">
        <v>15</v>
      </c>
      <c r="D57" s="20" t="s">
        <v>17</v>
      </c>
      <c r="E57" s="21">
        <v>20842</v>
      </c>
    </row>
    <row r="58" spans="1:5" x14ac:dyDescent="0.35">
      <c r="A58" s="16" t="s">
        <v>25</v>
      </c>
      <c r="B58" s="16" t="s">
        <v>23</v>
      </c>
      <c r="C58" s="16" t="s">
        <v>15</v>
      </c>
      <c r="D58" s="17" t="s">
        <v>18</v>
      </c>
      <c r="E58" s="18">
        <v>10339</v>
      </c>
    </row>
    <row r="59" spans="1:5" x14ac:dyDescent="0.35">
      <c r="A59" s="19" t="s">
        <v>25</v>
      </c>
      <c r="B59" s="19" t="s">
        <v>23</v>
      </c>
      <c r="C59" s="19" t="s">
        <v>19</v>
      </c>
      <c r="D59" s="20" t="s">
        <v>20</v>
      </c>
      <c r="E59" s="21">
        <v>399000</v>
      </c>
    </row>
    <row r="60" spans="1:5" x14ac:dyDescent="0.35">
      <c r="A60" s="16" t="s">
        <v>25</v>
      </c>
      <c r="B60" s="16" t="s">
        <v>23</v>
      </c>
      <c r="C60" s="16" t="s">
        <v>19</v>
      </c>
      <c r="D60" s="17" t="s">
        <v>21</v>
      </c>
      <c r="E60" s="18">
        <v>166250</v>
      </c>
    </row>
    <row r="61" spans="1:5" x14ac:dyDescent="0.35">
      <c r="A61" s="19" t="s">
        <v>25</v>
      </c>
      <c r="B61" s="19" t="s">
        <v>23</v>
      </c>
      <c r="C61" s="19" t="s">
        <v>19</v>
      </c>
      <c r="D61" s="20" t="s">
        <v>22</v>
      </c>
      <c r="E61" s="21">
        <v>50600</v>
      </c>
    </row>
    <row r="62" spans="1:5" x14ac:dyDescent="0.35">
      <c r="A62" s="16" t="s">
        <v>25</v>
      </c>
      <c r="B62" s="16" t="s">
        <v>24</v>
      </c>
      <c r="C62" s="16" t="s">
        <v>7</v>
      </c>
      <c r="D62" s="17" t="s">
        <v>8</v>
      </c>
      <c r="E62" s="18">
        <v>177717</v>
      </c>
    </row>
    <row r="63" spans="1:5" x14ac:dyDescent="0.35">
      <c r="A63" s="19" t="s">
        <v>25</v>
      </c>
      <c r="B63" s="19" t="s">
        <v>24</v>
      </c>
      <c r="C63" s="19" t="s">
        <v>7</v>
      </c>
      <c r="D63" s="20" t="s">
        <v>9</v>
      </c>
      <c r="E63" s="21">
        <v>79692</v>
      </c>
    </row>
    <row r="64" spans="1:5" x14ac:dyDescent="0.35">
      <c r="A64" s="16" t="s">
        <v>25</v>
      </c>
      <c r="B64" s="16" t="s">
        <v>24</v>
      </c>
      <c r="C64" s="16" t="s">
        <v>7</v>
      </c>
      <c r="D64" s="17" t="s">
        <v>10</v>
      </c>
      <c r="E64" s="18">
        <v>29970</v>
      </c>
    </row>
    <row r="65" spans="1:5" x14ac:dyDescent="0.35">
      <c r="A65" s="19" t="s">
        <v>25</v>
      </c>
      <c r="B65" s="19" t="s">
        <v>24</v>
      </c>
      <c r="C65" s="19" t="s">
        <v>11</v>
      </c>
      <c r="D65" s="20" t="s">
        <v>12</v>
      </c>
      <c r="E65" s="21">
        <v>71900</v>
      </c>
    </row>
    <row r="66" spans="1:5" x14ac:dyDescent="0.35">
      <c r="A66" s="16" t="s">
        <v>25</v>
      </c>
      <c r="B66" s="16" t="s">
        <v>24</v>
      </c>
      <c r="C66" s="16" t="s">
        <v>11</v>
      </c>
      <c r="D66" s="17" t="s">
        <v>13</v>
      </c>
      <c r="E66" s="18">
        <v>43286</v>
      </c>
    </row>
    <row r="67" spans="1:5" x14ac:dyDescent="0.35">
      <c r="A67" s="19" t="s">
        <v>25</v>
      </c>
      <c r="B67" s="19" t="s">
        <v>24</v>
      </c>
      <c r="C67" s="19" t="s">
        <v>11</v>
      </c>
      <c r="D67" s="20" t="s">
        <v>14</v>
      </c>
      <c r="E67" s="21">
        <v>23746</v>
      </c>
    </row>
    <row r="68" spans="1:5" x14ac:dyDescent="0.35">
      <c r="A68" s="16" t="s">
        <v>25</v>
      </c>
      <c r="B68" s="16" t="s">
        <v>24</v>
      </c>
      <c r="C68" s="16" t="s">
        <v>15</v>
      </c>
      <c r="D68" s="17" t="s">
        <v>16</v>
      </c>
      <c r="E68" s="18">
        <v>15154</v>
      </c>
    </row>
    <row r="69" spans="1:5" x14ac:dyDescent="0.35">
      <c r="A69" s="19" t="s">
        <v>25</v>
      </c>
      <c r="B69" s="19" t="s">
        <v>24</v>
      </c>
      <c r="C69" s="19" t="s">
        <v>15</v>
      </c>
      <c r="D69" s="20" t="s">
        <v>17</v>
      </c>
      <c r="E69" s="21">
        <v>16951</v>
      </c>
    </row>
    <row r="70" spans="1:5" x14ac:dyDescent="0.35">
      <c r="A70" s="16" t="s">
        <v>25</v>
      </c>
      <c r="B70" s="16" t="s">
        <v>24</v>
      </c>
      <c r="C70" s="16" t="s">
        <v>15</v>
      </c>
      <c r="D70" s="17" t="s">
        <v>18</v>
      </c>
      <c r="E70" s="18">
        <v>12315</v>
      </c>
    </row>
    <row r="71" spans="1:5" x14ac:dyDescent="0.35">
      <c r="A71" s="19" t="s">
        <v>25</v>
      </c>
      <c r="B71" s="19" t="s">
        <v>24</v>
      </c>
      <c r="C71" s="19" t="s">
        <v>19</v>
      </c>
      <c r="D71" s="20" t="s">
        <v>20</v>
      </c>
      <c r="E71" s="21">
        <v>325500</v>
      </c>
    </row>
    <row r="72" spans="1:5" x14ac:dyDescent="0.35">
      <c r="A72" s="16" t="s">
        <v>25</v>
      </c>
      <c r="B72" s="16" t="s">
        <v>24</v>
      </c>
      <c r="C72" s="16" t="s">
        <v>19</v>
      </c>
      <c r="D72" s="17" t="s">
        <v>21</v>
      </c>
      <c r="E72" s="18">
        <v>133000</v>
      </c>
    </row>
    <row r="73" spans="1:5" x14ac:dyDescent="0.35">
      <c r="A73" s="19" t="s">
        <v>25</v>
      </c>
      <c r="B73" s="19" t="s">
        <v>24</v>
      </c>
      <c r="C73" s="19" t="s">
        <v>19</v>
      </c>
      <c r="D73" s="20" t="s">
        <v>22</v>
      </c>
      <c r="E73" s="21">
        <v>41400</v>
      </c>
    </row>
    <row r="74" spans="1:5" x14ac:dyDescent="0.35">
      <c r="A74" s="16" t="s">
        <v>26</v>
      </c>
      <c r="B74" s="16" t="s">
        <v>6</v>
      </c>
      <c r="C74" s="16" t="s">
        <v>7</v>
      </c>
      <c r="D74" s="17" t="s">
        <v>8</v>
      </c>
      <c r="E74" s="18">
        <v>258217</v>
      </c>
    </row>
    <row r="75" spans="1:5" x14ac:dyDescent="0.35">
      <c r="A75" s="19" t="s">
        <v>26</v>
      </c>
      <c r="B75" s="19" t="s">
        <v>6</v>
      </c>
      <c r="C75" s="19" t="s">
        <v>7</v>
      </c>
      <c r="D75" s="20" t="s">
        <v>9</v>
      </c>
      <c r="E75" s="21">
        <v>122908</v>
      </c>
    </row>
    <row r="76" spans="1:5" x14ac:dyDescent="0.35">
      <c r="A76" s="16" t="s">
        <v>26</v>
      </c>
      <c r="B76" s="16" t="s">
        <v>6</v>
      </c>
      <c r="C76" s="16" t="s">
        <v>7</v>
      </c>
      <c r="D76" s="17" t="s">
        <v>10</v>
      </c>
      <c r="E76" s="18">
        <v>37913</v>
      </c>
    </row>
    <row r="77" spans="1:5" x14ac:dyDescent="0.35">
      <c r="A77" s="19" t="s">
        <v>26</v>
      </c>
      <c r="B77" s="19" t="s">
        <v>6</v>
      </c>
      <c r="C77" s="19" t="s">
        <v>11</v>
      </c>
      <c r="D77" s="20" t="s">
        <v>12</v>
      </c>
      <c r="E77" s="21">
        <v>94124</v>
      </c>
    </row>
    <row r="78" spans="1:5" x14ac:dyDescent="0.35">
      <c r="A78" s="16" t="s">
        <v>26</v>
      </c>
      <c r="B78" s="16" t="s">
        <v>6</v>
      </c>
      <c r="C78" s="16" t="s">
        <v>11</v>
      </c>
      <c r="D78" s="17" t="s">
        <v>13</v>
      </c>
      <c r="E78" s="18">
        <v>52753</v>
      </c>
    </row>
    <row r="79" spans="1:5" x14ac:dyDescent="0.35">
      <c r="A79" s="19" t="s">
        <v>26</v>
      </c>
      <c r="B79" s="19" t="s">
        <v>6</v>
      </c>
      <c r="C79" s="19" t="s">
        <v>11</v>
      </c>
      <c r="D79" s="20" t="s">
        <v>14</v>
      </c>
      <c r="E79" s="21">
        <v>30664</v>
      </c>
    </row>
    <row r="80" spans="1:5" x14ac:dyDescent="0.35">
      <c r="A80" s="16" t="s">
        <v>26</v>
      </c>
      <c r="B80" s="16" t="s">
        <v>6</v>
      </c>
      <c r="C80" s="16" t="s">
        <v>15</v>
      </c>
      <c r="D80" s="17" t="s">
        <v>16</v>
      </c>
      <c r="E80" s="18">
        <v>23950</v>
      </c>
    </row>
    <row r="81" spans="1:5" x14ac:dyDescent="0.35">
      <c r="A81" s="19" t="s">
        <v>26</v>
      </c>
      <c r="B81" s="19" t="s">
        <v>6</v>
      </c>
      <c r="C81" s="19" t="s">
        <v>15</v>
      </c>
      <c r="D81" s="20" t="s">
        <v>17</v>
      </c>
      <c r="E81" s="21">
        <v>24840</v>
      </c>
    </row>
    <row r="82" spans="1:5" x14ac:dyDescent="0.35">
      <c r="A82" s="16" t="s">
        <v>26</v>
      </c>
      <c r="B82" s="16" t="s">
        <v>6</v>
      </c>
      <c r="C82" s="16" t="s">
        <v>15</v>
      </c>
      <c r="D82" s="17" t="s">
        <v>18</v>
      </c>
      <c r="E82" s="18">
        <v>14142</v>
      </c>
    </row>
    <row r="83" spans="1:5" x14ac:dyDescent="0.35">
      <c r="A83" s="19" t="s">
        <v>26</v>
      </c>
      <c r="B83" s="19" t="s">
        <v>6</v>
      </c>
      <c r="C83" s="19" t="s">
        <v>19</v>
      </c>
      <c r="D83" s="20" t="s">
        <v>20</v>
      </c>
      <c r="E83" s="21">
        <v>441000</v>
      </c>
    </row>
    <row r="84" spans="1:5" x14ac:dyDescent="0.35">
      <c r="A84" s="16" t="s">
        <v>26</v>
      </c>
      <c r="B84" s="16" t="s">
        <v>6</v>
      </c>
      <c r="C84" s="16" t="s">
        <v>19</v>
      </c>
      <c r="D84" s="17" t="s">
        <v>21</v>
      </c>
      <c r="E84" s="18">
        <v>171000</v>
      </c>
    </row>
    <row r="85" spans="1:5" x14ac:dyDescent="0.35">
      <c r="A85" s="19" t="s">
        <v>26</v>
      </c>
      <c r="B85" s="19" t="s">
        <v>6</v>
      </c>
      <c r="C85" s="19" t="s">
        <v>19</v>
      </c>
      <c r="D85" s="20" t="s">
        <v>22</v>
      </c>
      <c r="E85" s="21">
        <v>55200</v>
      </c>
    </row>
    <row r="86" spans="1:5" x14ac:dyDescent="0.35">
      <c r="A86" s="16" t="s">
        <v>26</v>
      </c>
      <c r="B86" s="16" t="s">
        <v>23</v>
      </c>
      <c r="C86" s="16" t="s">
        <v>7</v>
      </c>
      <c r="D86" s="17" t="s">
        <v>8</v>
      </c>
      <c r="E86" s="18">
        <v>235015</v>
      </c>
    </row>
    <row r="87" spans="1:5" x14ac:dyDescent="0.35">
      <c r="A87" s="19" t="s">
        <v>26</v>
      </c>
      <c r="B87" s="19" t="s">
        <v>23</v>
      </c>
      <c r="C87" s="19" t="s">
        <v>7</v>
      </c>
      <c r="D87" s="20" t="s">
        <v>9</v>
      </c>
      <c r="E87" s="21">
        <v>117420</v>
      </c>
    </row>
    <row r="88" spans="1:5" x14ac:dyDescent="0.35">
      <c r="A88" s="16" t="s">
        <v>26</v>
      </c>
      <c r="B88" s="16" t="s">
        <v>23</v>
      </c>
      <c r="C88" s="16" t="s">
        <v>7</v>
      </c>
      <c r="D88" s="17" t="s">
        <v>10</v>
      </c>
      <c r="E88" s="18">
        <v>48093</v>
      </c>
    </row>
    <row r="89" spans="1:5" x14ac:dyDescent="0.35">
      <c r="A89" s="19" t="s">
        <v>26</v>
      </c>
      <c r="B89" s="19" t="s">
        <v>23</v>
      </c>
      <c r="C89" s="19" t="s">
        <v>11</v>
      </c>
      <c r="D89" s="20" t="s">
        <v>12</v>
      </c>
      <c r="E89" s="21">
        <v>82758</v>
      </c>
    </row>
    <row r="90" spans="1:5" x14ac:dyDescent="0.35">
      <c r="A90" s="16" t="s">
        <v>26</v>
      </c>
      <c r="B90" s="16" t="s">
        <v>23</v>
      </c>
      <c r="C90" s="16" t="s">
        <v>11</v>
      </c>
      <c r="D90" s="17" t="s">
        <v>13</v>
      </c>
      <c r="E90" s="18">
        <v>49449</v>
      </c>
    </row>
    <row r="91" spans="1:5" x14ac:dyDescent="0.35">
      <c r="A91" s="19" t="s">
        <v>26</v>
      </c>
      <c r="B91" s="19" t="s">
        <v>23</v>
      </c>
      <c r="C91" s="19" t="s">
        <v>11</v>
      </c>
      <c r="D91" s="20" t="s">
        <v>14</v>
      </c>
      <c r="E91" s="21">
        <v>28916</v>
      </c>
    </row>
    <row r="92" spans="1:5" x14ac:dyDescent="0.35">
      <c r="A92" s="16" t="s">
        <v>26</v>
      </c>
      <c r="B92" s="16" t="s">
        <v>23</v>
      </c>
      <c r="C92" s="16" t="s">
        <v>15</v>
      </c>
      <c r="D92" s="17" t="s">
        <v>16</v>
      </c>
      <c r="E92" s="18">
        <v>18778</v>
      </c>
    </row>
    <row r="93" spans="1:5" x14ac:dyDescent="0.35">
      <c r="A93" s="19" t="s">
        <v>26</v>
      </c>
      <c r="B93" s="19" t="s">
        <v>23</v>
      </c>
      <c r="C93" s="19" t="s">
        <v>15</v>
      </c>
      <c r="D93" s="20" t="s">
        <v>17</v>
      </c>
      <c r="E93" s="21">
        <v>20410</v>
      </c>
    </row>
    <row r="94" spans="1:5" x14ac:dyDescent="0.35">
      <c r="A94" s="16" t="s">
        <v>26</v>
      </c>
      <c r="B94" s="16" t="s">
        <v>23</v>
      </c>
      <c r="C94" s="16" t="s">
        <v>15</v>
      </c>
      <c r="D94" s="17" t="s">
        <v>18</v>
      </c>
      <c r="E94" s="18">
        <v>15086</v>
      </c>
    </row>
    <row r="95" spans="1:5" x14ac:dyDescent="0.35">
      <c r="A95" s="19" t="s">
        <v>26</v>
      </c>
      <c r="B95" s="19" t="s">
        <v>23</v>
      </c>
      <c r="C95" s="19" t="s">
        <v>19</v>
      </c>
      <c r="D95" s="20" t="s">
        <v>20</v>
      </c>
      <c r="E95" s="21">
        <v>399000</v>
      </c>
    </row>
    <row r="96" spans="1:5" x14ac:dyDescent="0.35">
      <c r="A96" s="16" t="s">
        <v>26</v>
      </c>
      <c r="B96" s="16" t="s">
        <v>23</v>
      </c>
      <c r="C96" s="16" t="s">
        <v>19</v>
      </c>
      <c r="D96" s="17" t="s">
        <v>21</v>
      </c>
      <c r="E96" s="18">
        <v>166250</v>
      </c>
    </row>
    <row r="97" spans="1:5" x14ac:dyDescent="0.35">
      <c r="A97" s="19" t="s">
        <v>26</v>
      </c>
      <c r="B97" s="19" t="s">
        <v>23</v>
      </c>
      <c r="C97" s="19" t="s">
        <v>19</v>
      </c>
      <c r="D97" s="20" t="s">
        <v>22</v>
      </c>
      <c r="E97" s="21">
        <v>50600</v>
      </c>
    </row>
    <row r="98" spans="1:5" x14ac:dyDescent="0.35">
      <c r="A98" s="16" t="s">
        <v>26</v>
      </c>
      <c r="B98" s="16" t="s">
        <v>24</v>
      </c>
      <c r="C98" s="16" t="s">
        <v>7</v>
      </c>
      <c r="D98" s="17" t="s">
        <v>8</v>
      </c>
      <c r="E98" s="18">
        <v>197667</v>
      </c>
    </row>
    <row r="99" spans="1:5" x14ac:dyDescent="0.35">
      <c r="A99" s="19" t="s">
        <v>26</v>
      </c>
      <c r="B99" s="19" t="s">
        <v>24</v>
      </c>
      <c r="C99" s="19" t="s">
        <v>7</v>
      </c>
      <c r="D99" s="20" t="s">
        <v>9</v>
      </c>
      <c r="E99" s="21">
        <v>84329</v>
      </c>
    </row>
    <row r="100" spans="1:5" x14ac:dyDescent="0.35">
      <c r="A100" s="16" t="s">
        <v>26</v>
      </c>
      <c r="B100" s="16" t="s">
        <v>24</v>
      </c>
      <c r="C100" s="16" t="s">
        <v>7</v>
      </c>
      <c r="D100" s="17" t="s">
        <v>10</v>
      </c>
      <c r="E100" s="18">
        <v>36991</v>
      </c>
    </row>
    <row r="101" spans="1:5" x14ac:dyDescent="0.35">
      <c r="A101" s="19" t="s">
        <v>26</v>
      </c>
      <c r="B101" s="19" t="s">
        <v>24</v>
      </c>
      <c r="C101" s="19" t="s">
        <v>11</v>
      </c>
      <c r="D101" s="20" t="s">
        <v>12</v>
      </c>
      <c r="E101" s="21">
        <v>68539</v>
      </c>
    </row>
    <row r="102" spans="1:5" x14ac:dyDescent="0.35">
      <c r="A102" s="16" t="s">
        <v>26</v>
      </c>
      <c r="B102" s="16" t="s">
        <v>24</v>
      </c>
      <c r="C102" s="16" t="s">
        <v>11</v>
      </c>
      <c r="D102" s="17" t="s">
        <v>13</v>
      </c>
      <c r="E102" s="18">
        <v>49443</v>
      </c>
    </row>
    <row r="103" spans="1:5" x14ac:dyDescent="0.35">
      <c r="A103" s="19" t="s">
        <v>26</v>
      </c>
      <c r="B103" s="19" t="s">
        <v>24</v>
      </c>
      <c r="C103" s="19" t="s">
        <v>11</v>
      </c>
      <c r="D103" s="20" t="s">
        <v>14</v>
      </c>
      <c r="E103" s="21">
        <v>24739</v>
      </c>
    </row>
    <row r="104" spans="1:5" x14ac:dyDescent="0.35">
      <c r="A104" s="16" t="s">
        <v>26</v>
      </c>
      <c r="B104" s="16" t="s">
        <v>24</v>
      </c>
      <c r="C104" s="16" t="s">
        <v>15</v>
      </c>
      <c r="D104" s="17" t="s">
        <v>16</v>
      </c>
      <c r="E104" s="18">
        <v>15354</v>
      </c>
    </row>
    <row r="105" spans="1:5" x14ac:dyDescent="0.35">
      <c r="A105" s="19" t="s">
        <v>26</v>
      </c>
      <c r="B105" s="19" t="s">
        <v>24</v>
      </c>
      <c r="C105" s="19" t="s">
        <v>15</v>
      </c>
      <c r="D105" s="20" t="s">
        <v>17</v>
      </c>
      <c r="E105" s="21">
        <v>16860</v>
      </c>
    </row>
    <row r="106" spans="1:5" x14ac:dyDescent="0.35">
      <c r="A106" s="16" t="s">
        <v>26</v>
      </c>
      <c r="B106" s="16" t="s">
        <v>24</v>
      </c>
      <c r="C106" s="16" t="s">
        <v>15</v>
      </c>
      <c r="D106" s="17" t="s">
        <v>18</v>
      </c>
      <c r="E106" s="18">
        <v>10626</v>
      </c>
    </row>
    <row r="107" spans="1:5" x14ac:dyDescent="0.35">
      <c r="A107" s="19" t="s">
        <v>26</v>
      </c>
      <c r="B107" s="19" t="s">
        <v>24</v>
      </c>
      <c r="C107" s="19" t="s">
        <v>19</v>
      </c>
      <c r="D107" s="20" t="s">
        <v>20</v>
      </c>
      <c r="E107" s="21">
        <v>325500</v>
      </c>
    </row>
    <row r="108" spans="1:5" x14ac:dyDescent="0.35">
      <c r="A108" s="16" t="s">
        <v>26</v>
      </c>
      <c r="B108" s="16" t="s">
        <v>24</v>
      </c>
      <c r="C108" s="16" t="s">
        <v>19</v>
      </c>
      <c r="D108" s="17" t="s">
        <v>21</v>
      </c>
      <c r="E108" s="18">
        <v>133000</v>
      </c>
    </row>
    <row r="109" spans="1:5" x14ac:dyDescent="0.35">
      <c r="A109" s="19" t="s">
        <v>26</v>
      </c>
      <c r="B109" s="19" t="s">
        <v>24</v>
      </c>
      <c r="C109" s="19" t="s">
        <v>19</v>
      </c>
      <c r="D109" s="20" t="s">
        <v>22</v>
      </c>
      <c r="E109" s="21">
        <v>41400</v>
      </c>
    </row>
    <row r="110" spans="1:5" x14ac:dyDescent="0.35">
      <c r="A110" s="16" t="s">
        <v>27</v>
      </c>
      <c r="B110" s="16" t="s">
        <v>6</v>
      </c>
      <c r="C110" s="16" t="s">
        <v>7</v>
      </c>
      <c r="D110" s="17" t="s">
        <v>8</v>
      </c>
      <c r="E110" s="18">
        <v>242035</v>
      </c>
    </row>
    <row r="111" spans="1:5" x14ac:dyDescent="0.35">
      <c r="A111" s="19" t="s">
        <v>27</v>
      </c>
      <c r="B111" s="19" t="s">
        <v>6</v>
      </c>
      <c r="C111" s="19" t="s">
        <v>7</v>
      </c>
      <c r="D111" s="20" t="s">
        <v>9</v>
      </c>
      <c r="E111" s="21">
        <v>122187</v>
      </c>
    </row>
    <row r="112" spans="1:5" x14ac:dyDescent="0.35">
      <c r="A112" s="16" t="s">
        <v>27</v>
      </c>
      <c r="B112" s="16" t="s">
        <v>6</v>
      </c>
      <c r="C112" s="16" t="s">
        <v>7</v>
      </c>
      <c r="D112" s="17" t="s">
        <v>10</v>
      </c>
      <c r="E112" s="18">
        <v>56225</v>
      </c>
    </row>
    <row r="113" spans="1:5" x14ac:dyDescent="0.35">
      <c r="A113" s="19" t="s">
        <v>27</v>
      </c>
      <c r="B113" s="19" t="s">
        <v>6</v>
      </c>
      <c r="C113" s="19" t="s">
        <v>11</v>
      </c>
      <c r="D113" s="20" t="s">
        <v>12</v>
      </c>
      <c r="E113" s="21">
        <v>88189</v>
      </c>
    </row>
    <row r="114" spans="1:5" x14ac:dyDescent="0.35">
      <c r="A114" s="16" t="s">
        <v>27</v>
      </c>
      <c r="B114" s="16" t="s">
        <v>6</v>
      </c>
      <c r="C114" s="16" t="s">
        <v>11</v>
      </c>
      <c r="D114" s="17" t="s">
        <v>13</v>
      </c>
      <c r="E114" s="18">
        <v>53558</v>
      </c>
    </row>
    <row r="115" spans="1:5" x14ac:dyDescent="0.35">
      <c r="A115" s="19" t="s">
        <v>27</v>
      </c>
      <c r="B115" s="19" t="s">
        <v>6</v>
      </c>
      <c r="C115" s="19" t="s">
        <v>11</v>
      </c>
      <c r="D115" s="20" t="s">
        <v>14</v>
      </c>
      <c r="E115" s="21">
        <v>39565</v>
      </c>
    </row>
    <row r="116" spans="1:5" x14ac:dyDescent="0.35">
      <c r="A116" s="16" t="s">
        <v>27</v>
      </c>
      <c r="B116" s="16" t="s">
        <v>6</v>
      </c>
      <c r="C116" s="16" t="s">
        <v>15</v>
      </c>
      <c r="D116" s="17" t="s">
        <v>16</v>
      </c>
      <c r="E116" s="18">
        <v>21646</v>
      </c>
    </row>
    <row r="117" spans="1:5" x14ac:dyDescent="0.35">
      <c r="A117" s="19" t="s">
        <v>27</v>
      </c>
      <c r="B117" s="19" t="s">
        <v>6</v>
      </c>
      <c r="C117" s="19" t="s">
        <v>15</v>
      </c>
      <c r="D117" s="20" t="s">
        <v>17</v>
      </c>
      <c r="E117" s="21">
        <v>21545</v>
      </c>
    </row>
    <row r="118" spans="1:5" x14ac:dyDescent="0.35">
      <c r="A118" s="16" t="s">
        <v>27</v>
      </c>
      <c r="B118" s="16" t="s">
        <v>6</v>
      </c>
      <c r="C118" s="16" t="s">
        <v>15</v>
      </c>
      <c r="D118" s="17" t="s">
        <v>18</v>
      </c>
      <c r="E118" s="18">
        <v>11083</v>
      </c>
    </row>
    <row r="119" spans="1:5" x14ac:dyDescent="0.35">
      <c r="A119" s="19" t="s">
        <v>27</v>
      </c>
      <c r="B119" s="19" t="s">
        <v>6</v>
      </c>
      <c r="C119" s="19" t="s">
        <v>19</v>
      </c>
      <c r="D119" s="20" t="s">
        <v>20</v>
      </c>
      <c r="E119" s="21">
        <v>441000</v>
      </c>
    </row>
    <row r="120" spans="1:5" x14ac:dyDescent="0.35">
      <c r="A120" s="16" t="s">
        <v>27</v>
      </c>
      <c r="B120" s="16" t="s">
        <v>6</v>
      </c>
      <c r="C120" s="16" t="s">
        <v>19</v>
      </c>
      <c r="D120" s="17" t="s">
        <v>21</v>
      </c>
      <c r="E120" s="18">
        <v>171000</v>
      </c>
    </row>
    <row r="121" spans="1:5" x14ac:dyDescent="0.35">
      <c r="A121" s="19" t="s">
        <v>27</v>
      </c>
      <c r="B121" s="19" t="s">
        <v>6</v>
      </c>
      <c r="C121" s="19" t="s">
        <v>19</v>
      </c>
      <c r="D121" s="20" t="s">
        <v>22</v>
      </c>
      <c r="E121" s="21">
        <v>55200</v>
      </c>
    </row>
    <row r="122" spans="1:5" x14ac:dyDescent="0.35">
      <c r="A122" s="16" t="s">
        <v>27</v>
      </c>
      <c r="B122" s="16" t="s">
        <v>23</v>
      </c>
      <c r="C122" s="16" t="s">
        <v>7</v>
      </c>
      <c r="D122" s="17" t="s">
        <v>8</v>
      </c>
      <c r="E122" s="18">
        <v>213167</v>
      </c>
    </row>
    <row r="123" spans="1:5" x14ac:dyDescent="0.35">
      <c r="A123" s="19" t="s">
        <v>27</v>
      </c>
      <c r="B123" s="19" t="s">
        <v>23</v>
      </c>
      <c r="C123" s="19" t="s">
        <v>7</v>
      </c>
      <c r="D123" s="20" t="s">
        <v>9</v>
      </c>
      <c r="E123" s="21">
        <v>111690</v>
      </c>
    </row>
    <row r="124" spans="1:5" x14ac:dyDescent="0.35">
      <c r="A124" s="16" t="s">
        <v>27</v>
      </c>
      <c r="B124" s="16" t="s">
        <v>23</v>
      </c>
      <c r="C124" s="16" t="s">
        <v>7</v>
      </c>
      <c r="D124" s="17" t="s">
        <v>10</v>
      </c>
      <c r="E124" s="18">
        <v>48459</v>
      </c>
    </row>
    <row r="125" spans="1:5" x14ac:dyDescent="0.35">
      <c r="A125" s="19" t="s">
        <v>27</v>
      </c>
      <c r="B125" s="19" t="s">
        <v>23</v>
      </c>
      <c r="C125" s="19" t="s">
        <v>11</v>
      </c>
      <c r="D125" s="20" t="s">
        <v>12</v>
      </c>
      <c r="E125" s="21">
        <v>86138</v>
      </c>
    </row>
    <row r="126" spans="1:5" x14ac:dyDescent="0.35">
      <c r="A126" s="16" t="s">
        <v>27</v>
      </c>
      <c r="B126" s="16" t="s">
        <v>23</v>
      </c>
      <c r="C126" s="16" t="s">
        <v>11</v>
      </c>
      <c r="D126" s="17" t="s">
        <v>13</v>
      </c>
      <c r="E126" s="18">
        <v>49889</v>
      </c>
    </row>
    <row r="127" spans="1:5" x14ac:dyDescent="0.35">
      <c r="A127" s="19" t="s">
        <v>27</v>
      </c>
      <c r="B127" s="19" t="s">
        <v>23</v>
      </c>
      <c r="C127" s="19" t="s">
        <v>11</v>
      </c>
      <c r="D127" s="20" t="s">
        <v>14</v>
      </c>
      <c r="E127" s="21">
        <v>29843</v>
      </c>
    </row>
    <row r="128" spans="1:5" x14ac:dyDescent="0.35">
      <c r="A128" s="16" t="s">
        <v>27</v>
      </c>
      <c r="B128" s="16" t="s">
        <v>23</v>
      </c>
      <c r="C128" s="16" t="s">
        <v>15</v>
      </c>
      <c r="D128" s="17" t="s">
        <v>16</v>
      </c>
      <c r="E128" s="18">
        <v>21983</v>
      </c>
    </row>
    <row r="129" spans="1:5" x14ac:dyDescent="0.35">
      <c r="A129" s="19" t="s">
        <v>27</v>
      </c>
      <c r="B129" s="19" t="s">
        <v>23</v>
      </c>
      <c r="C129" s="19" t="s">
        <v>15</v>
      </c>
      <c r="D129" s="20" t="s">
        <v>17</v>
      </c>
      <c r="E129" s="21">
        <v>22160</v>
      </c>
    </row>
    <row r="130" spans="1:5" x14ac:dyDescent="0.35">
      <c r="A130" s="16" t="s">
        <v>27</v>
      </c>
      <c r="B130" s="16" t="s">
        <v>23</v>
      </c>
      <c r="C130" s="16" t="s">
        <v>15</v>
      </c>
      <c r="D130" s="17" t="s">
        <v>18</v>
      </c>
      <c r="E130" s="18">
        <v>15241</v>
      </c>
    </row>
    <row r="131" spans="1:5" x14ac:dyDescent="0.35">
      <c r="A131" s="19" t="s">
        <v>27</v>
      </c>
      <c r="B131" s="19" t="s">
        <v>23</v>
      </c>
      <c r="C131" s="19" t="s">
        <v>19</v>
      </c>
      <c r="D131" s="20" t="s">
        <v>20</v>
      </c>
      <c r="E131" s="21">
        <v>399000</v>
      </c>
    </row>
    <row r="132" spans="1:5" x14ac:dyDescent="0.35">
      <c r="A132" s="16" t="s">
        <v>27</v>
      </c>
      <c r="B132" s="16" t="s">
        <v>23</v>
      </c>
      <c r="C132" s="16" t="s">
        <v>19</v>
      </c>
      <c r="D132" s="17" t="s">
        <v>21</v>
      </c>
      <c r="E132" s="18">
        <v>166250</v>
      </c>
    </row>
    <row r="133" spans="1:5" x14ac:dyDescent="0.35">
      <c r="A133" s="19" t="s">
        <v>27</v>
      </c>
      <c r="B133" s="19" t="s">
        <v>23</v>
      </c>
      <c r="C133" s="19" t="s">
        <v>19</v>
      </c>
      <c r="D133" s="20" t="s">
        <v>22</v>
      </c>
      <c r="E133" s="21">
        <v>50600</v>
      </c>
    </row>
    <row r="134" spans="1:5" x14ac:dyDescent="0.35">
      <c r="A134" s="16" t="s">
        <v>27</v>
      </c>
      <c r="B134" s="16" t="s">
        <v>24</v>
      </c>
      <c r="C134" s="16" t="s">
        <v>7</v>
      </c>
      <c r="D134" s="17" t="s">
        <v>8</v>
      </c>
      <c r="E134" s="18">
        <v>197184</v>
      </c>
    </row>
    <row r="135" spans="1:5" x14ac:dyDescent="0.35">
      <c r="A135" s="19" t="s">
        <v>27</v>
      </c>
      <c r="B135" s="19" t="s">
        <v>24</v>
      </c>
      <c r="C135" s="19" t="s">
        <v>7</v>
      </c>
      <c r="D135" s="20" t="s">
        <v>9</v>
      </c>
      <c r="E135" s="21">
        <v>77749</v>
      </c>
    </row>
    <row r="136" spans="1:5" x14ac:dyDescent="0.35">
      <c r="A136" s="16" t="s">
        <v>27</v>
      </c>
      <c r="B136" s="16" t="s">
        <v>24</v>
      </c>
      <c r="C136" s="16" t="s">
        <v>7</v>
      </c>
      <c r="D136" s="17" t="s">
        <v>10</v>
      </c>
      <c r="E136" s="18">
        <v>38205</v>
      </c>
    </row>
    <row r="137" spans="1:5" x14ac:dyDescent="0.35">
      <c r="A137" s="19" t="s">
        <v>27</v>
      </c>
      <c r="B137" s="19" t="s">
        <v>24</v>
      </c>
      <c r="C137" s="19" t="s">
        <v>11</v>
      </c>
      <c r="D137" s="20" t="s">
        <v>12</v>
      </c>
      <c r="E137" s="21">
        <v>72544</v>
      </c>
    </row>
    <row r="138" spans="1:5" x14ac:dyDescent="0.35">
      <c r="A138" s="16" t="s">
        <v>27</v>
      </c>
      <c r="B138" s="16" t="s">
        <v>24</v>
      </c>
      <c r="C138" s="16" t="s">
        <v>11</v>
      </c>
      <c r="D138" s="17" t="s">
        <v>13</v>
      </c>
      <c r="E138" s="18">
        <v>45214</v>
      </c>
    </row>
    <row r="139" spans="1:5" x14ac:dyDescent="0.35">
      <c r="A139" s="19" t="s">
        <v>27</v>
      </c>
      <c r="B139" s="19" t="s">
        <v>24</v>
      </c>
      <c r="C139" s="19" t="s">
        <v>11</v>
      </c>
      <c r="D139" s="20" t="s">
        <v>14</v>
      </c>
      <c r="E139" s="21">
        <v>22588</v>
      </c>
    </row>
    <row r="140" spans="1:5" x14ac:dyDescent="0.35">
      <c r="A140" s="16" t="s">
        <v>27</v>
      </c>
      <c r="B140" s="16" t="s">
        <v>24</v>
      </c>
      <c r="C140" s="16" t="s">
        <v>15</v>
      </c>
      <c r="D140" s="17" t="s">
        <v>16</v>
      </c>
      <c r="E140" s="18">
        <v>16707</v>
      </c>
    </row>
    <row r="141" spans="1:5" x14ac:dyDescent="0.35">
      <c r="A141" s="19" t="s">
        <v>27</v>
      </c>
      <c r="B141" s="19" t="s">
        <v>24</v>
      </c>
      <c r="C141" s="19" t="s">
        <v>15</v>
      </c>
      <c r="D141" s="20" t="s">
        <v>17</v>
      </c>
      <c r="E141" s="21">
        <v>16252</v>
      </c>
    </row>
    <row r="142" spans="1:5" x14ac:dyDescent="0.35">
      <c r="A142" s="16" t="s">
        <v>27</v>
      </c>
      <c r="B142" s="16" t="s">
        <v>24</v>
      </c>
      <c r="C142" s="16" t="s">
        <v>15</v>
      </c>
      <c r="D142" s="17" t="s">
        <v>18</v>
      </c>
      <c r="E142" s="18">
        <v>10056</v>
      </c>
    </row>
    <row r="143" spans="1:5" x14ac:dyDescent="0.35">
      <c r="A143" s="19" t="s">
        <v>27</v>
      </c>
      <c r="B143" s="19" t="s">
        <v>24</v>
      </c>
      <c r="C143" s="19" t="s">
        <v>19</v>
      </c>
      <c r="D143" s="20" t="s">
        <v>20</v>
      </c>
      <c r="E143" s="21">
        <v>325500</v>
      </c>
    </row>
    <row r="144" spans="1:5" x14ac:dyDescent="0.35">
      <c r="A144" s="16" t="s">
        <v>27</v>
      </c>
      <c r="B144" s="16" t="s">
        <v>24</v>
      </c>
      <c r="C144" s="16" t="s">
        <v>19</v>
      </c>
      <c r="D144" s="17" t="s">
        <v>21</v>
      </c>
      <c r="E144" s="18">
        <v>133000</v>
      </c>
    </row>
    <row r="145" spans="1:5" x14ac:dyDescent="0.35">
      <c r="A145" s="19" t="s">
        <v>27</v>
      </c>
      <c r="B145" s="19" t="s">
        <v>24</v>
      </c>
      <c r="C145" s="19" t="s">
        <v>19</v>
      </c>
      <c r="D145" s="20" t="s">
        <v>22</v>
      </c>
      <c r="E145" s="21">
        <v>41400</v>
      </c>
    </row>
    <row r="146" spans="1:5" x14ac:dyDescent="0.35">
      <c r="A146" s="16" t="s">
        <v>28</v>
      </c>
      <c r="B146" s="16" t="s">
        <v>6</v>
      </c>
      <c r="C146" s="16" t="s">
        <v>7</v>
      </c>
      <c r="D146" s="17" t="s">
        <v>8</v>
      </c>
      <c r="E146" s="18">
        <v>250056</v>
      </c>
    </row>
    <row r="147" spans="1:5" x14ac:dyDescent="0.35">
      <c r="A147" s="19" t="s">
        <v>28</v>
      </c>
      <c r="B147" s="19" t="s">
        <v>6</v>
      </c>
      <c r="C147" s="19" t="s">
        <v>7</v>
      </c>
      <c r="D147" s="20" t="s">
        <v>9</v>
      </c>
      <c r="E147" s="21">
        <v>133042</v>
      </c>
    </row>
    <row r="148" spans="1:5" x14ac:dyDescent="0.35">
      <c r="A148" s="16" t="s">
        <v>28</v>
      </c>
      <c r="B148" s="16" t="s">
        <v>6</v>
      </c>
      <c r="C148" s="16" t="s">
        <v>7</v>
      </c>
      <c r="D148" s="17" t="s">
        <v>10</v>
      </c>
      <c r="E148" s="18">
        <v>55671</v>
      </c>
    </row>
    <row r="149" spans="1:5" x14ac:dyDescent="0.35">
      <c r="A149" s="19" t="s">
        <v>28</v>
      </c>
      <c r="B149" s="19" t="s">
        <v>6</v>
      </c>
      <c r="C149" s="19" t="s">
        <v>11</v>
      </c>
      <c r="D149" s="20" t="s">
        <v>12</v>
      </c>
      <c r="E149" s="21">
        <v>85741</v>
      </c>
    </row>
    <row r="150" spans="1:5" x14ac:dyDescent="0.35">
      <c r="A150" s="16" t="s">
        <v>28</v>
      </c>
      <c r="B150" s="16" t="s">
        <v>6</v>
      </c>
      <c r="C150" s="16" t="s">
        <v>11</v>
      </c>
      <c r="D150" s="17" t="s">
        <v>13</v>
      </c>
      <c r="E150" s="18">
        <v>57608</v>
      </c>
    </row>
    <row r="151" spans="1:5" x14ac:dyDescent="0.35">
      <c r="A151" s="19" t="s">
        <v>28</v>
      </c>
      <c r="B151" s="19" t="s">
        <v>6</v>
      </c>
      <c r="C151" s="19" t="s">
        <v>11</v>
      </c>
      <c r="D151" s="20" t="s">
        <v>14</v>
      </c>
      <c r="E151" s="21">
        <v>27773</v>
      </c>
    </row>
    <row r="152" spans="1:5" x14ac:dyDescent="0.35">
      <c r="A152" s="16" t="s">
        <v>28</v>
      </c>
      <c r="B152" s="16" t="s">
        <v>6</v>
      </c>
      <c r="C152" s="16" t="s">
        <v>15</v>
      </c>
      <c r="D152" s="17" t="s">
        <v>16</v>
      </c>
      <c r="E152" s="18">
        <v>23581</v>
      </c>
    </row>
    <row r="153" spans="1:5" x14ac:dyDescent="0.35">
      <c r="A153" s="19" t="s">
        <v>28</v>
      </c>
      <c r="B153" s="19" t="s">
        <v>6</v>
      </c>
      <c r="C153" s="19" t="s">
        <v>15</v>
      </c>
      <c r="D153" s="20" t="s">
        <v>17</v>
      </c>
      <c r="E153" s="21">
        <v>26223</v>
      </c>
    </row>
    <row r="154" spans="1:5" x14ac:dyDescent="0.35">
      <c r="A154" s="16" t="s">
        <v>28</v>
      </c>
      <c r="B154" s="16" t="s">
        <v>6</v>
      </c>
      <c r="C154" s="16" t="s">
        <v>15</v>
      </c>
      <c r="D154" s="17" t="s">
        <v>18</v>
      </c>
      <c r="E154" s="18">
        <v>12591</v>
      </c>
    </row>
    <row r="155" spans="1:5" x14ac:dyDescent="0.35">
      <c r="A155" s="19" t="s">
        <v>28</v>
      </c>
      <c r="B155" s="19" t="s">
        <v>6</v>
      </c>
      <c r="C155" s="19" t="s">
        <v>19</v>
      </c>
      <c r="D155" s="20" t="s">
        <v>20</v>
      </c>
      <c r="E155" s="21">
        <v>441000</v>
      </c>
    </row>
    <row r="156" spans="1:5" x14ac:dyDescent="0.35">
      <c r="A156" s="16" t="s">
        <v>28</v>
      </c>
      <c r="B156" s="16" t="s">
        <v>6</v>
      </c>
      <c r="C156" s="16" t="s">
        <v>19</v>
      </c>
      <c r="D156" s="17" t="s">
        <v>21</v>
      </c>
      <c r="E156" s="18">
        <v>171000</v>
      </c>
    </row>
    <row r="157" spans="1:5" x14ac:dyDescent="0.35">
      <c r="A157" s="19" t="s">
        <v>28</v>
      </c>
      <c r="B157" s="19" t="s">
        <v>6</v>
      </c>
      <c r="C157" s="19" t="s">
        <v>19</v>
      </c>
      <c r="D157" s="20" t="s">
        <v>22</v>
      </c>
      <c r="E157" s="21">
        <v>55200</v>
      </c>
    </row>
    <row r="158" spans="1:5" x14ac:dyDescent="0.35">
      <c r="A158" s="16" t="s">
        <v>28</v>
      </c>
      <c r="B158" s="16" t="s">
        <v>23</v>
      </c>
      <c r="C158" s="16" t="s">
        <v>7</v>
      </c>
      <c r="D158" s="17" t="s">
        <v>8</v>
      </c>
      <c r="E158" s="18">
        <v>233280</v>
      </c>
    </row>
    <row r="159" spans="1:5" x14ac:dyDescent="0.35">
      <c r="A159" s="19" t="s">
        <v>28</v>
      </c>
      <c r="B159" s="19" t="s">
        <v>23</v>
      </c>
      <c r="C159" s="19" t="s">
        <v>7</v>
      </c>
      <c r="D159" s="20" t="s">
        <v>9</v>
      </c>
      <c r="E159" s="21">
        <v>111199</v>
      </c>
    </row>
    <row r="160" spans="1:5" x14ac:dyDescent="0.35">
      <c r="A160" s="16" t="s">
        <v>28</v>
      </c>
      <c r="B160" s="16" t="s">
        <v>23</v>
      </c>
      <c r="C160" s="16" t="s">
        <v>7</v>
      </c>
      <c r="D160" s="17" t="s">
        <v>10</v>
      </c>
      <c r="E160" s="18">
        <v>33885</v>
      </c>
    </row>
    <row r="161" spans="1:5" x14ac:dyDescent="0.35">
      <c r="A161" s="19" t="s">
        <v>28</v>
      </c>
      <c r="B161" s="19" t="s">
        <v>23</v>
      </c>
      <c r="C161" s="19" t="s">
        <v>11</v>
      </c>
      <c r="D161" s="20" t="s">
        <v>12</v>
      </c>
      <c r="E161" s="21">
        <v>92094</v>
      </c>
    </row>
    <row r="162" spans="1:5" x14ac:dyDescent="0.35">
      <c r="A162" s="16" t="s">
        <v>28</v>
      </c>
      <c r="B162" s="16" t="s">
        <v>23</v>
      </c>
      <c r="C162" s="16" t="s">
        <v>11</v>
      </c>
      <c r="D162" s="17" t="s">
        <v>13</v>
      </c>
      <c r="E162" s="18">
        <v>56551</v>
      </c>
    </row>
    <row r="163" spans="1:5" x14ac:dyDescent="0.35">
      <c r="A163" s="19" t="s">
        <v>28</v>
      </c>
      <c r="B163" s="19" t="s">
        <v>23</v>
      </c>
      <c r="C163" s="19" t="s">
        <v>11</v>
      </c>
      <c r="D163" s="20" t="s">
        <v>14</v>
      </c>
      <c r="E163" s="21">
        <v>35401</v>
      </c>
    </row>
    <row r="164" spans="1:5" x14ac:dyDescent="0.35">
      <c r="A164" s="16" t="s">
        <v>28</v>
      </c>
      <c r="B164" s="16" t="s">
        <v>23</v>
      </c>
      <c r="C164" s="16" t="s">
        <v>15</v>
      </c>
      <c r="D164" s="17" t="s">
        <v>16</v>
      </c>
      <c r="E164" s="18">
        <v>19934</v>
      </c>
    </row>
    <row r="165" spans="1:5" x14ac:dyDescent="0.35">
      <c r="A165" s="19" t="s">
        <v>28</v>
      </c>
      <c r="B165" s="19" t="s">
        <v>23</v>
      </c>
      <c r="C165" s="19" t="s">
        <v>15</v>
      </c>
      <c r="D165" s="20" t="s">
        <v>17</v>
      </c>
      <c r="E165" s="21">
        <v>19253</v>
      </c>
    </row>
    <row r="166" spans="1:5" x14ac:dyDescent="0.35">
      <c r="A166" s="16" t="s">
        <v>28</v>
      </c>
      <c r="B166" s="16" t="s">
        <v>23</v>
      </c>
      <c r="C166" s="16" t="s">
        <v>15</v>
      </c>
      <c r="D166" s="17" t="s">
        <v>18</v>
      </c>
      <c r="E166" s="18">
        <v>11683</v>
      </c>
    </row>
    <row r="167" spans="1:5" x14ac:dyDescent="0.35">
      <c r="A167" s="19" t="s">
        <v>28</v>
      </c>
      <c r="B167" s="19" t="s">
        <v>23</v>
      </c>
      <c r="C167" s="19" t="s">
        <v>19</v>
      </c>
      <c r="D167" s="20" t="s">
        <v>20</v>
      </c>
      <c r="E167" s="21">
        <v>399000</v>
      </c>
    </row>
    <row r="168" spans="1:5" x14ac:dyDescent="0.35">
      <c r="A168" s="16" t="s">
        <v>28</v>
      </c>
      <c r="B168" s="16" t="s">
        <v>23</v>
      </c>
      <c r="C168" s="16" t="s">
        <v>19</v>
      </c>
      <c r="D168" s="17" t="s">
        <v>21</v>
      </c>
      <c r="E168" s="18">
        <v>166250</v>
      </c>
    </row>
    <row r="169" spans="1:5" x14ac:dyDescent="0.35">
      <c r="A169" s="19" t="s">
        <v>28</v>
      </c>
      <c r="B169" s="19" t="s">
        <v>23</v>
      </c>
      <c r="C169" s="19" t="s">
        <v>19</v>
      </c>
      <c r="D169" s="20" t="s">
        <v>22</v>
      </c>
      <c r="E169" s="21">
        <v>50600</v>
      </c>
    </row>
    <row r="170" spans="1:5" x14ac:dyDescent="0.35">
      <c r="A170" s="16" t="s">
        <v>28</v>
      </c>
      <c r="B170" s="16" t="s">
        <v>24</v>
      </c>
      <c r="C170" s="16" t="s">
        <v>7</v>
      </c>
      <c r="D170" s="17" t="s">
        <v>8</v>
      </c>
      <c r="E170" s="18">
        <v>171104</v>
      </c>
    </row>
    <row r="171" spans="1:5" x14ac:dyDescent="0.35">
      <c r="A171" s="19" t="s">
        <v>28</v>
      </c>
      <c r="B171" s="19" t="s">
        <v>24</v>
      </c>
      <c r="C171" s="19" t="s">
        <v>7</v>
      </c>
      <c r="D171" s="20" t="s">
        <v>9</v>
      </c>
      <c r="E171" s="21">
        <v>97661</v>
      </c>
    </row>
    <row r="172" spans="1:5" x14ac:dyDescent="0.35">
      <c r="A172" s="16" t="s">
        <v>28</v>
      </c>
      <c r="B172" s="16" t="s">
        <v>24</v>
      </c>
      <c r="C172" s="16" t="s">
        <v>7</v>
      </c>
      <c r="D172" s="17" t="s">
        <v>10</v>
      </c>
      <c r="E172" s="18">
        <v>41144</v>
      </c>
    </row>
    <row r="173" spans="1:5" x14ac:dyDescent="0.35">
      <c r="A173" s="19" t="s">
        <v>28</v>
      </c>
      <c r="B173" s="19" t="s">
        <v>24</v>
      </c>
      <c r="C173" s="19" t="s">
        <v>11</v>
      </c>
      <c r="D173" s="20" t="s">
        <v>12</v>
      </c>
      <c r="E173" s="21">
        <v>74643</v>
      </c>
    </row>
    <row r="174" spans="1:5" x14ac:dyDescent="0.35">
      <c r="A174" s="16" t="s">
        <v>28</v>
      </c>
      <c r="B174" s="16" t="s">
        <v>24</v>
      </c>
      <c r="C174" s="16" t="s">
        <v>11</v>
      </c>
      <c r="D174" s="17" t="s">
        <v>13</v>
      </c>
      <c r="E174" s="18">
        <v>42644</v>
      </c>
    </row>
    <row r="175" spans="1:5" x14ac:dyDescent="0.35">
      <c r="A175" s="19" t="s">
        <v>28</v>
      </c>
      <c r="B175" s="19" t="s">
        <v>24</v>
      </c>
      <c r="C175" s="19" t="s">
        <v>11</v>
      </c>
      <c r="D175" s="20" t="s">
        <v>14</v>
      </c>
      <c r="E175" s="21">
        <v>20249</v>
      </c>
    </row>
    <row r="176" spans="1:5" x14ac:dyDescent="0.35">
      <c r="A176" s="16" t="s">
        <v>28</v>
      </c>
      <c r="B176" s="16" t="s">
        <v>24</v>
      </c>
      <c r="C176" s="16" t="s">
        <v>15</v>
      </c>
      <c r="D176" s="17" t="s">
        <v>16</v>
      </c>
      <c r="E176" s="18">
        <v>17561</v>
      </c>
    </row>
    <row r="177" spans="1:5" x14ac:dyDescent="0.35">
      <c r="A177" s="19" t="s">
        <v>28</v>
      </c>
      <c r="B177" s="19" t="s">
        <v>24</v>
      </c>
      <c r="C177" s="19" t="s">
        <v>15</v>
      </c>
      <c r="D177" s="20" t="s">
        <v>17</v>
      </c>
      <c r="E177" s="21">
        <v>20011</v>
      </c>
    </row>
    <row r="178" spans="1:5" x14ac:dyDescent="0.35">
      <c r="A178" s="16" t="s">
        <v>28</v>
      </c>
      <c r="B178" s="16" t="s">
        <v>24</v>
      </c>
      <c r="C178" s="16" t="s">
        <v>15</v>
      </c>
      <c r="D178" s="17" t="s">
        <v>18</v>
      </c>
      <c r="E178" s="18">
        <v>8485</v>
      </c>
    </row>
    <row r="179" spans="1:5" x14ac:dyDescent="0.35">
      <c r="A179" s="19" t="s">
        <v>28</v>
      </c>
      <c r="B179" s="19" t="s">
        <v>24</v>
      </c>
      <c r="C179" s="19" t="s">
        <v>19</v>
      </c>
      <c r="D179" s="20" t="s">
        <v>20</v>
      </c>
      <c r="E179" s="21">
        <v>325500</v>
      </c>
    </row>
    <row r="180" spans="1:5" x14ac:dyDescent="0.35">
      <c r="A180" s="16" t="s">
        <v>28</v>
      </c>
      <c r="B180" s="16" t="s">
        <v>24</v>
      </c>
      <c r="C180" s="16" t="s">
        <v>19</v>
      </c>
      <c r="D180" s="17" t="s">
        <v>21</v>
      </c>
      <c r="E180" s="18">
        <v>133000</v>
      </c>
    </row>
    <row r="181" spans="1:5" x14ac:dyDescent="0.35">
      <c r="A181" s="19" t="s">
        <v>28</v>
      </c>
      <c r="B181" s="19" t="s">
        <v>24</v>
      </c>
      <c r="C181" s="19" t="s">
        <v>19</v>
      </c>
      <c r="D181" s="20" t="s">
        <v>22</v>
      </c>
      <c r="E181" s="21">
        <v>41400</v>
      </c>
    </row>
    <row r="182" spans="1:5" x14ac:dyDescent="0.35">
      <c r="A182" s="16" t="s">
        <v>29</v>
      </c>
      <c r="B182" s="16" t="s">
        <v>6</v>
      </c>
      <c r="C182" s="16" t="s">
        <v>7</v>
      </c>
      <c r="D182" s="17" t="s">
        <v>8</v>
      </c>
      <c r="E182" s="18">
        <v>251412</v>
      </c>
    </row>
    <row r="183" spans="1:5" x14ac:dyDescent="0.35">
      <c r="A183" s="19" t="s">
        <v>29</v>
      </c>
      <c r="B183" s="19" t="s">
        <v>6</v>
      </c>
      <c r="C183" s="19" t="s">
        <v>7</v>
      </c>
      <c r="D183" s="20" t="s">
        <v>9</v>
      </c>
      <c r="E183" s="21">
        <v>107035</v>
      </c>
    </row>
    <row r="184" spans="1:5" x14ac:dyDescent="0.35">
      <c r="A184" s="16" t="s">
        <v>29</v>
      </c>
      <c r="B184" s="16" t="s">
        <v>6</v>
      </c>
      <c r="C184" s="16" t="s">
        <v>7</v>
      </c>
      <c r="D184" s="17" t="s">
        <v>10</v>
      </c>
      <c r="E184" s="18">
        <v>52767</v>
      </c>
    </row>
    <row r="185" spans="1:5" x14ac:dyDescent="0.35">
      <c r="A185" s="19" t="s">
        <v>29</v>
      </c>
      <c r="B185" s="19" t="s">
        <v>6</v>
      </c>
      <c r="C185" s="19" t="s">
        <v>11</v>
      </c>
      <c r="D185" s="20" t="s">
        <v>12</v>
      </c>
      <c r="E185" s="21">
        <v>94785</v>
      </c>
    </row>
    <row r="186" spans="1:5" x14ac:dyDescent="0.35">
      <c r="A186" s="16" t="s">
        <v>29</v>
      </c>
      <c r="B186" s="16" t="s">
        <v>6</v>
      </c>
      <c r="C186" s="16" t="s">
        <v>11</v>
      </c>
      <c r="D186" s="17" t="s">
        <v>13</v>
      </c>
      <c r="E186" s="18">
        <v>52249</v>
      </c>
    </row>
    <row r="187" spans="1:5" x14ac:dyDescent="0.35">
      <c r="A187" s="19" t="s">
        <v>29</v>
      </c>
      <c r="B187" s="19" t="s">
        <v>6</v>
      </c>
      <c r="C187" s="19" t="s">
        <v>11</v>
      </c>
      <c r="D187" s="20" t="s">
        <v>14</v>
      </c>
      <c r="E187" s="21">
        <v>32044</v>
      </c>
    </row>
    <row r="188" spans="1:5" x14ac:dyDescent="0.35">
      <c r="A188" s="16" t="s">
        <v>29</v>
      </c>
      <c r="B188" s="16" t="s">
        <v>6</v>
      </c>
      <c r="C188" s="16" t="s">
        <v>15</v>
      </c>
      <c r="D188" s="17" t="s">
        <v>16</v>
      </c>
      <c r="E188" s="18">
        <v>21839</v>
      </c>
    </row>
    <row r="189" spans="1:5" x14ac:dyDescent="0.35">
      <c r="A189" s="19" t="s">
        <v>29</v>
      </c>
      <c r="B189" s="19" t="s">
        <v>6</v>
      </c>
      <c r="C189" s="19" t="s">
        <v>15</v>
      </c>
      <c r="D189" s="20" t="s">
        <v>17</v>
      </c>
      <c r="E189" s="21">
        <v>22590</v>
      </c>
    </row>
    <row r="190" spans="1:5" x14ac:dyDescent="0.35">
      <c r="A190" s="16" t="s">
        <v>29</v>
      </c>
      <c r="B190" s="16" t="s">
        <v>6</v>
      </c>
      <c r="C190" s="16" t="s">
        <v>15</v>
      </c>
      <c r="D190" s="17" t="s">
        <v>18</v>
      </c>
      <c r="E190" s="18">
        <v>16035</v>
      </c>
    </row>
    <row r="191" spans="1:5" x14ac:dyDescent="0.35">
      <c r="A191" s="19" t="s">
        <v>29</v>
      </c>
      <c r="B191" s="19" t="s">
        <v>6</v>
      </c>
      <c r="C191" s="19" t="s">
        <v>19</v>
      </c>
      <c r="D191" s="20" t="s">
        <v>20</v>
      </c>
      <c r="E191" s="21">
        <v>441000</v>
      </c>
    </row>
    <row r="192" spans="1:5" x14ac:dyDescent="0.35">
      <c r="A192" s="16" t="s">
        <v>29</v>
      </c>
      <c r="B192" s="16" t="s">
        <v>6</v>
      </c>
      <c r="C192" s="16" t="s">
        <v>19</v>
      </c>
      <c r="D192" s="17" t="s">
        <v>21</v>
      </c>
      <c r="E192" s="18">
        <v>171000</v>
      </c>
    </row>
    <row r="193" spans="1:5" x14ac:dyDescent="0.35">
      <c r="A193" s="19" t="s">
        <v>29</v>
      </c>
      <c r="B193" s="19" t="s">
        <v>6</v>
      </c>
      <c r="C193" s="19" t="s">
        <v>19</v>
      </c>
      <c r="D193" s="20" t="s">
        <v>22</v>
      </c>
      <c r="E193" s="21">
        <v>55200</v>
      </c>
    </row>
    <row r="194" spans="1:5" x14ac:dyDescent="0.35">
      <c r="A194" s="16" t="s">
        <v>29</v>
      </c>
      <c r="B194" s="16" t="s">
        <v>23</v>
      </c>
      <c r="C194" s="16" t="s">
        <v>7</v>
      </c>
      <c r="D194" s="17" t="s">
        <v>8</v>
      </c>
      <c r="E194" s="18">
        <v>225079</v>
      </c>
    </row>
    <row r="195" spans="1:5" x14ac:dyDescent="0.35">
      <c r="A195" s="19" t="s">
        <v>29</v>
      </c>
      <c r="B195" s="19" t="s">
        <v>23</v>
      </c>
      <c r="C195" s="19" t="s">
        <v>7</v>
      </c>
      <c r="D195" s="20" t="s">
        <v>9</v>
      </c>
      <c r="E195" s="21">
        <v>100634</v>
      </c>
    </row>
    <row r="196" spans="1:5" x14ac:dyDescent="0.35">
      <c r="A196" s="16" t="s">
        <v>29</v>
      </c>
      <c r="B196" s="16" t="s">
        <v>23</v>
      </c>
      <c r="C196" s="16" t="s">
        <v>7</v>
      </c>
      <c r="D196" s="17" t="s">
        <v>10</v>
      </c>
      <c r="E196" s="18">
        <v>42696</v>
      </c>
    </row>
    <row r="197" spans="1:5" x14ac:dyDescent="0.35">
      <c r="A197" s="19" t="s">
        <v>29</v>
      </c>
      <c r="B197" s="19" t="s">
        <v>23</v>
      </c>
      <c r="C197" s="19" t="s">
        <v>11</v>
      </c>
      <c r="D197" s="20" t="s">
        <v>12</v>
      </c>
      <c r="E197" s="21">
        <v>91524</v>
      </c>
    </row>
    <row r="198" spans="1:5" x14ac:dyDescent="0.35">
      <c r="A198" s="16" t="s">
        <v>29</v>
      </c>
      <c r="B198" s="16" t="s">
        <v>23</v>
      </c>
      <c r="C198" s="16" t="s">
        <v>11</v>
      </c>
      <c r="D198" s="17" t="s">
        <v>13</v>
      </c>
      <c r="E198" s="18">
        <v>51816</v>
      </c>
    </row>
    <row r="199" spans="1:5" x14ac:dyDescent="0.35">
      <c r="A199" s="19" t="s">
        <v>29</v>
      </c>
      <c r="B199" s="19" t="s">
        <v>23</v>
      </c>
      <c r="C199" s="19" t="s">
        <v>11</v>
      </c>
      <c r="D199" s="20" t="s">
        <v>14</v>
      </c>
      <c r="E199" s="21">
        <v>28864</v>
      </c>
    </row>
    <row r="200" spans="1:5" x14ac:dyDescent="0.35">
      <c r="A200" s="16" t="s">
        <v>29</v>
      </c>
      <c r="B200" s="16" t="s">
        <v>23</v>
      </c>
      <c r="C200" s="16" t="s">
        <v>15</v>
      </c>
      <c r="D200" s="17" t="s">
        <v>16</v>
      </c>
      <c r="E200" s="18">
        <v>21979</v>
      </c>
    </row>
    <row r="201" spans="1:5" x14ac:dyDescent="0.35">
      <c r="A201" s="19" t="s">
        <v>29</v>
      </c>
      <c r="B201" s="19" t="s">
        <v>23</v>
      </c>
      <c r="C201" s="19" t="s">
        <v>15</v>
      </c>
      <c r="D201" s="20" t="s">
        <v>17</v>
      </c>
      <c r="E201" s="21">
        <v>22824</v>
      </c>
    </row>
    <row r="202" spans="1:5" x14ac:dyDescent="0.35">
      <c r="A202" s="16" t="s">
        <v>29</v>
      </c>
      <c r="B202" s="16" t="s">
        <v>23</v>
      </c>
      <c r="C202" s="16" t="s">
        <v>15</v>
      </c>
      <c r="D202" s="17" t="s">
        <v>18</v>
      </c>
      <c r="E202" s="18">
        <v>12310</v>
      </c>
    </row>
    <row r="203" spans="1:5" x14ac:dyDescent="0.35">
      <c r="A203" s="19" t="s">
        <v>29</v>
      </c>
      <c r="B203" s="19" t="s">
        <v>23</v>
      </c>
      <c r="C203" s="19" t="s">
        <v>19</v>
      </c>
      <c r="D203" s="20" t="s">
        <v>20</v>
      </c>
      <c r="E203" s="21">
        <v>399000</v>
      </c>
    </row>
    <row r="204" spans="1:5" x14ac:dyDescent="0.35">
      <c r="A204" s="16" t="s">
        <v>29</v>
      </c>
      <c r="B204" s="16" t="s">
        <v>23</v>
      </c>
      <c r="C204" s="16" t="s">
        <v>19</v>
      </c>
      <c r="D204" s="17" t="s">
        <v>21</v>
      </c>
      <c r="E204" s="18">
        <v>166250</v>
      </c>
    </row>
    <row r="205" spans="1:5" x14ac:dyDescent="0.35">
      <c r="A205" s="19" t="s">
        <v>29</v>
      </c>
      <c r="B205" s="19" t="s">
        <v>23</v>
      </c>
      <c r="C205" s="19" t="s">
        <v>19</v>
      </c>
      <c r="D205" s="20" t="s">
        <v>22</v>
      </c>
      <c r="E205" s="21">
        <v>50600</v>
      </c>
    </row>
    <row r="206" spans="1:5" x14ac:dyDescent="0.35">
      <c r="A206" s="16" t="s">
        <v>29</v>
      </c>
      <c r="B206" s="16" t="s">
        <v>24</v>
      </c>
      <c r="C206" s="16" t="s">
        <v>7</v>
      </c>
      <c r="D206" s="17" t="s">
        <v>8</v>
      </c>
      <c r="E206" s="18">
        <v>186545</v>
      </c>
    </row>
    <row r="207" spans="1:5" x14ac:dyDescent="0.35">
      <c r="A207" s="19" t="s">
        <v>29</v>
      </c>
      <c r="B207" s="19" t="s">
        <v>24</v>
      </c>
      <c r="C207" s="19" t="s">
        <v>7</v>
      </c>
      <c r="D207" s="20" t="s">
        <v>9</v>
      </c>
      <c r="E207" s="21">
        <v>80126</v>
      </c>
    </row>
    <row r="208" spans="1:5" x14ac:dyDescent="0.35">
      <c r="A208" s="16" t="s">
        <v>29</v>
      </c>
      <c r="B208" s="16" t="s">
        <v>24</v>
      </c>
      <c r="C208" s="16" t="s">
        <v>7</v>
      </c>
      <c r="D208" s="17" t="s">
        <v>10</v>
      </c>
      <c r="E208" s="18">
        <v>28979</v>
      </c>
    </row>
    <row r="209" spans="1:5" x14ac:dyDescent="0.35">
      <c r="A209" s="19" t="s">
        <v>29</v>
      </c>
      <c r="B209" s="19" t="s">
        <v>24</v>
      </c>
      <c r="C209" s="19" t="s">
        <v>11</v>
      </c>
      <c r="D209" s="20" t="s">
        <v>12</v>
      </c>
      <c r="E209" s="21">
        <v>67733</v>
      </c>
    </row>
    <row r="210" spans="1:5" x14ac:dyDescent="0.35">
      <c r="A210" s="16" t="s">
        <v>29</v>
      </c>
      <c r="B210" s="16" t="s">
        <v>24</v>
      </c>
      <c r="C210" s="16" t="s">
        <v>11</v>
      </c>
      <c r="D210" s="17" t="s">
        <v>13</v>
      </c>
      <c r="E210" s="18">
        <v>45789</v>
      </c>
    </row>
    <row r="211" spans="1:5" x14ac:dyDescent="0.35">
      <c r="A211" s="19" t="s">
        <v>29</v>
      </c>
      <c r="B211" s="19" t="s">
        <v>24</v>
      </c>
      <c r="C211" s="19" t="s">
        <v>11</v>
      </c>
      <c r="D211" s="20" t="s">
        <v>14</v>
      </c>
      <c r="E211" s="21">
        <v>22177</v>
      </c>
    </row>
    <row r="212" spans="1:5" x14ac:dyDescent="0.35">
      <c r="A212" s="16" t="s">
        <v>29</v>
      </c>
      <c r="B212" s="16" t="s">
        <v>24</v>
      </c>
      <c r="C212" s="16" t="s">
        <v>15</v>
      </c>
      <c r="D212" s="17" t="s">
        <v>16</v>
      </c>
      <c r="E212" s="18">
        <v>15193</v>
      </c>
    </row>
    <row r="213" spans="1:5" x14ac:dyDescent="0.35">
      <c r="A213" s="19" t="s">
        <v>29</v>
      </c>
      <c r="B213" s="19" t="s">
        <v>24</v>
      </c>
      <c r="C213" s="19" t="s">
        <v>15</v>
      </c>
      <c r="D213" s="20" t="s">
        <v>17</v>
      </c>
      <c r="E213" s="21">
        <v>16069</v>
      </c>
    </row>
    <row r="214" spans="1:5" x14ac:dyDescent="0.35">
      <c r="A214" s="16" t="s">
        <v>29</v>
      </c>
      <c r="B214" s="16" t="s">
        <v>24</v>
      </c>
      <c r="C214" s="16" t="s">
        <v>15</v>
      </c>
      <c r="D214" s="17" t="s">
        <v>18</v>
      </c>
      <c r="E214" s="18">
        <v>10940</v>
      </c>
    </row>
    <row r="215" spans="1:5" x14ac:dyDescent="0.35">
      <c r="A215" s="19" t="s">
        <v>29</v>
      </c>
      <c r="B215" s="19" t="s">
        <v>24</v>
      </c>
      <c r="C215" s="19" t="s">
        <v>19</v>
      </c>
      <c r="D215" s="20" t="s">
        <v>20</v>
      </c>
      <c r="E215" s="21">
        <v>325500</v>
      </c>
    </row>
    <row r="216" spans="1:5" x14ac:dyDescent="0.35">
      <c r="A216" s="16" t="s">
        <v>29</v>
      </c>
      <c r="B216" s="16" t="s">
        <v>24</v>
      </c>
      <c r="C216" s="16" t="s">
        <v>19</v>
      </c>
      <c r="D216" s="17" t="s">
        <v>21</v>
      </c>
      <c r="E216" s="18">
        <v>133000</v>
      </c>
    </row>
    <row r="217" spans="1:5" x14ac:dyDescent="0.35">
      <c r="A217" s="19" t="s">
        <v>29</v>
      </c>
      <c r="B217" s="19" t="s">
        <v>24</v>
      </c>
      <c r="C217" s="19" t="s">
        <v>19</v>
      </c>
      <c r="D217" s="20" t="s">
        <v>22</v>
      </c>
      <c r="E217" s="21">
        <v>41400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449"/>
  </sheetPr>
  <dimension ref="A1:D16"/>
  <sheetViews>
    <sheetView showGridLines="0" zoomScaleNormal="100" workbookViewId="0">
      <selection sqref="A1:D1"/>
    </sheetView>
  </sheetViews>
  <sheetFormatPr defaultColWidth="8.6328125" defaultRowHeight="14.5" x14ac:dyDescent="0.35"/>
  <cols>
    <col min="1" max="1" width="26" customWidth="1"/>
    <col min="2" max="2" width="12" customWidth="1"/>
    <col min="3" max="3" width="14" customWidth="1"/>
    <col min="4" max="4" width="12" customWidth="1"/>
  </cols>
  <sheetData>
    <row r="1" spans="1:4" ht="30" customHeight="1" x14ac:dyDescent="0.35">
      <c r="A1" s="14" t="s">
        <v>30</v>
      </c>
      <c r="B1" s="14"/>
      <c r="C1" s="14"/>
      <c r="D1" s="14"/>
    </row>
    <row r="2" spans="1:4" x14ac:dyDescent="0.35">
      <c r="A2" s="22" t="s">
        <v>3</v>
      </c>
      <c r="B2" s="22" t="s">
        <v>2</v>
      </c>
      <c r="C2" s="22" t="s">
        <v>31</v>
      </c>
      <c r="D2" s="22" t="s">
        <v>32</v>
      </c>
    </row>
    <row r="3" spans="1:4" x14ac:dyDescent="0.35">
      <c r="A3" s="19" t="s">
        <v>8</v>
      </c>
      <c r="B3" s="19" t="s">
        <v>7</v>
      </c>
      <c r="C3" s="19" t="s">
        <v>33</v>
      </c>
      <c r="D3" s="23" t="s">
        <v>34</v>
      </c>
    </row>
    <row r="4" spans="1:4" x14ac:dyDescent="0.35">
      <c r="A4" s="16" t="s">
        <v>9</v>
      </c>
      <c r="B4" s="16" t="s">
        <v>7</v>
      </c>
      <c r="C4" s="16" t="s">
        <v>35</v>
      </c>
      <c r="D4" s="24" t="s">
        <v>34</v>
      </c>
    </row>
    <row r="5" spans="1:4" x14ac:dyDescent="0.35">
      <c r="A5" s="19" t="s">
        <v>10</v>
      </c>
      <c r="B5" s="19" t="s">
        <v>7</v>
      </c>
      <c r="C5" s="19" t="s">
        <v>36</v>
      </c>
      <c r="D5" s="23" t="s">
        <v>34</v>
      </c>
    </row>
    <row r="6" spans="1:4" x14ac:dyDescent="0.35">
      <c r="A6" s="16" t="s">
        <v>12</v>
      </c>
      <c r="B6" s="16" t="s">
        <v>11</v>
      </c>
      <c r="C6" s="16" t="s">
        <v>37</v>
      </c>
      <c r="D6" s="25" t="s">
        <v>38</v>
      </c>
    </row>
    <row r="7" spans="1:4" x14ac:dyDescent="0.35">
      <c r="A7" s="19" t="s">
        <v>13</v>
      </c>
      <c r="B7" s="19" t="s">
        <v>11</v>
      </c>
      <c r="C7" s="19" t="s">
        <v>39</v>
      </c>
      <c r="D7" s="26" t="s">
        <v>38</v>
      </c>
    </row>
    <row r="8" spans="1:4" x14ac:dyDescent="0.35">
      <c r="A8" s="16" t="s">
        <v>14</v>
      </c>
      <c r="B8" s="16" t="s">
        <v>11</v>
      </c>
      <c r="C8" s="16" t="s">
        <v>33</v>
      </c>
      <c r="D8" s="25" t="s">
        <v>38</v>
      </c>
    </row>
    <row r="9" spans="1:4" x14ac:dyDescent="0.35">
      <c r="A9" s="19" t="s">
        <v>16</v>
      </c>
      <c r="B9" s="19" t="s">
        <v>15</v>
      </c>
      <c r="C9" s="19" t="s">
        <v>40</v>
      </c>
      <c r="D9" s="26" t="s">
        <v>38</v>
      </c>
    </row>
    <row r="10" spans="1:4" x14ac:dyDescent="0.35">
      <c r="A10" s="16" t="s">
        <v>17</v>
      </c>
      <c r="B10" s="16" t="s">
        <v>15</v>
      </c>
      <c r="C10" s="16" t="s">
        <v>41</v>
      </c>
      <c r="D10" s="25" t="s">
        <v>38</v>
      </c>
    </row>
    <row r="11" spans="1:4" x14ac:dyDescent="0.35">
      <c r="A11" s="19" t="s">
        <v>18</v>
      </c>
      <c r="B11" s="19" t="s">
        <v>15</v>
      </c>
      <c r="C11" s="19" t="s">
        <v>42</v>
      </c>
      <c r="D11" s="26" t="s">
        <v>38</v>
      </c>
    </row>
    <row r="12" spans="1:4" ht="15" customHeight="1" x14ac:dyDescent="0.35">
      <c r="A12" s="14" t="s">
        <v>43</v>
      </c>
      <c r="B12" s="14"/>
      <c r="C12" s="14"/>
      <c r="D12" s="14"/>
    </row>
    <row r="13" spans="1:4" ht="28" x14ac:dyDescent="0.35">
      <c r="A13" s="22" t="s">
        <v>1</v>
      </c>
      <c r="B13" s="22" t="s">
        <v>44</v>
      </c>
      <c r="C13" s="22" t="s">
        <v>45</v>
      </c>
      <c r="D13" s="22" t="s">
        <v>46</v>
      </c>
    </row>
    <row r="14" spans="1:4" x14ac:dyDescent="0.35">
      <c r="A14" s="16" t="s">
        <v>6</v>
      </c>
      <c r="B14" s="16" t="s">
        <v>47</v>
      </c>
      <c r="C14" s="16">
        <v>1200</v>
      </c>
      <c r="D14" s="16">
        <v>2022</v>
      </c>
    </row>
    <row r="15" spans="1:4" x14ac:dyDescent="0.35">
      <c r="A15" s="19" t="s">
        <v>23</v>
      </c>
      <c r="B15" s="19" t="s">
        <v>48</v>
      </c>
      <c r="C15" s="19">
        <v>980</v>
      </c>
      <c r="D15" s="19">
        <v>2023</v>
      </c>
    </row>
    <row r="16" spans="1:4" x14ac:dyDescent="0.35">
      <c r="A16" s="16" t="s">
        <v>24</v>
      </c>
      <c r="B16" s="16" t="s">
        <v>47</v>
      </c>
      <c r="C16" s="16">
        <v>760</v>
      </c>
      <c r="D16" s="16">
        <v>2023</v>
      </c>
    </row>
  </sheetData>
  <mergeCells count="2">
    <mergeCell ref="A1:D1"/>
    <mergeCell ref="A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942"/>
  </sheetPr>
  <dimension ref="A1:I24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22" customWidth="1"/>
    <col min="2" max="4" width="18" customWidth="1"/>
    <col min="5" max="5" width="14" customWidth="1"/>
    <col min="6" max="6" width="16" customWidth="1"/>
    <col min="7" max="7" width="24" customWidth="1"/>
    <col min="8" max="8" width="18" customWidth="1"/>
    <col min="9" max="9" width="12" customWidth="1"/>
  </cols>
  <sheetData>
    <row r="1" spans="1:8" ht="34.5" customHeight="1" x14ac:dyDescent="0.35">
      <c r="A1" s="13" t="s">
        <v>49</v>
      </c>
      <c r="B1" s="13"/>
      <c r="C1" s="13"/>
      <c r="D1" s="13"/>
      <c r="E1" s="13"/>
      <c r="F1" s="13"/>
      <c r="G1" s="13"/>
      <c r="H1" s="13"/>
    </row>
    <row r="3" spans="1:8" ht="15" customHeight="1" x14ac:dyDescent="0.35">
      <c r="A3" s="12" t="s">
        <v>50</v>
      </c>
      <c r="B3" s="12"/>
      <c r="C3" s="12"/>
      <c r="D3" s="12"/>
      <c r="E3" s="12"/>
      <c r="F3" s="12"/>
      <c r="G3" s="12"/>
      <c r="H3" s="12"/>
    </row>
    <row r="4" spans="1:8" x14ac:dyDescent="0.35">
      <c r="A4" s="22" t="s">
        <v>51</v>
      </c>
      <c r="B4" s="22" t="s">
        <v>5</v>
      </c>
      <c r="C4" s="22" t="s">
        <v>25</v>
      </c>
      <c r="D4" s="22" t="s">
        <v>26</v>
      </c>
      <c r="E4" s="22" t="s">
        <v>27</v>
      </c>
      <c r="F4" s="22" t="s">
        <v>28</v>
      </c>
      <c r="G4" s="22" t="s">
        <v>29</v>
      </c>
    </row>
    <row r="5" spans="1:8" x14ac:dyDescent="0.35">
      <c r="A5" s="27" t="s">
        <v>52</v>
      </c>
      <c r="B5" s="28">
        <f>SUMIFS(Raw_Data!$E:$E,Raw_Data!$A:$A,Summary!B$4,Raw_Data!$C:$C,"Revenue")</f>
        <v>1070013</v>
      </c>
      <c r="C5" s="28">
        <f>SUMIFS(Raw_Data!$E:$E,Raw_Data!$A:$A,Summary!C$4,Raw_Data!$C:$C,"Revenue")</f>
        <v>1103188</v>
      </c>
      <c r="D5" s="28">
        <f>SUMIFS(Raw_Data!$E:$E,Raw_Data!$A:$A,Summary!D$4,Raw_Data!$C:$C,"Revenue")</f>
        <v>1138553</v>
      </c>
      <c r="E5" s="28">
        <f>SUMIFS(Raw_Data!$E:$E,Raw_Data!$A:$A,Summary!E$4,Raw_Data!$C:$C,"Revenue")</f>
        <v>1106901</v>
      </c>
      <c r="F5" s="28">
        <f>SUMIFS(Raw_Data!$E:$E,Raw_Data!$A:$A,Summary!F$4,Raw_Data!$C:$C,"Revenue")</f>
        <v>1127042</v>
      </c>
      <c r="G5" s="28">
        <f>SUMIFS(Raw_Data!$E:$E,Raw_Data!$A:$A,Summary!G$4,Raw_Data!$C:$C,"Revenue")</f>
        <v>1075273</v>
      </c>
    </row>
    <row r="6" spans="1:8" x14ac:dyDescent="0.35">
      <c r="A6" s="29" t="s">
        <v>53</v>
      </c>
      <c r="B6" s="30">
        <f>SUMIFS(Raw_Data!$E:$E,Raw_Data!$A:$A,Summary!B$4,Raw_Data!$C:$C,"OpEx")</f>
        <v>482689</v>
      </c>
      <c r="C6" s="30">
        <f>SUMIFS(Raw_Data!$E:$E,Raw_Data!$A:$A,Summary!C$4,Raw_Data!$C:$C,"OpEx")</f>
        <v>501150</v>
      </c>
      <c r="D6" s="30">
        <f>SUMIFS(Raw_Data!$E:$E,Raw_Data!$A:$A,Summary!D$4,Raw_Data!$C:$C,"OpEx")</f>
        <v>481385</v>
      </c>
      <c r="E6" s="30">
        <f>SUMIFS(Raw_Data!$E:$E,Raw_Data!$A:$A,Summary!E$4,Raw_Data!$C:$C,"OpEx")</f>
        <v>487528</v>
      </c>
      <c r="F6" s="30">
        <f>SUMIFS(Raw_Data!$E:$E,Raw_Data!$A:$A,Summary!F$4,Raw_Data!$C:$C,"OpEx")</f>
        <v>492704</v>
      </c>
      <c r="G6" s="30">
        <f>SUMIFS(Raw_Data!$E:$E,Raw_Data!$A:$A,Summary!G$4,Raw_Data!$C:$C,"OpEx")</f>
        <v>486981</v>
      </c>
    </row>
    <row r="7" spans="1:8" x14ac:dyDescent="0.35">
      <c r="A7" s="29" t="s">
        <v>54</v>
      </c>
      <c r="B7" s="30">
        <f>SUMIFS(Raw_Data!$E:$E,Raw_Data!$A:$A,Summary!B$4,Raw_Data!$C:$C,"Overhead")</f>
        <v>155565</v>
      </c>
      <c r="C7" s="30">
        <f>SUMIFS(Raw_Data!$E:$E,Raw_Data!$A:$A,Summary!C$4,Raw_Data!$C:$C,"Overhead")</f>
        <v>155458</v>
      </c>
      <c r="D7" s="30">
        <f>SUMIFS(Raw_Data!$E:$E,Raw_Data!$A:$A,Summary!D$4,Raw_Data!$C:$C,"Overhead")</f>
        <v>160046</v>
      </c>
      <c r="E7" s="30">
        <f>SUMIFS(Raw_Data!$E:$E,Raw_Data!$A:$A,Summary!E$4,Raw_Data!$C:$C,"Overhead")</f>
        <v>156673</v>
      </c>
      <c r="F7" s="30">
        <f>SUMIFS(Raw_Data!$E:$E,Raw_Data!$A:$A,Summary!F$4,Raw_Data!$C:$C,"Overhead")</f>
        <v>159322</v>
      </c>
      <c r="G7" s="30">
        <f>SUMIFS(Raw_Data!$E:$E,Raw_Data!$A:$A,Summary!G$4,Raw_Data!$C:$C,"Overhead")</f>
        <v>159779</v>
      </c>
    </row>
    <row r="8" spans="1:8" x14ac:dyDescent="0.35">
      <c r="A8" s="31" t="s">
        <v>55</v>
      </c>
      <c r="B8" s="32">
        <f t="shared" ref="B8:G8" si="0">B5-B6-B7</f>
        <v>431759</v>
      </c>
      <c r="C8" s="32">
        <f t="shared" si="0"/>
        <v>446580</v>
      </c>
      <c r="D8" s="32">
        <f t="shared" si="0"/>
        <v>497122</v>
      </c>
      <c r="E8" s="32">
        <f t="shared" si="0"/>
        <v>462700</v>
      </c>
      <c r="F8" s="32">
        <f t="shared" si="0"/>
        <v>475016</v>
      </c>
      <c r="G8" s="32">
        <f t="shared" si="0"/>
        <v>428513</v>
      </c>
    </row>
    <row r="9" spans="1:8" x14ac:dyDescent="0.35">
      <c r="A9" s="33" t="s">
        <v>56</v>
      </c>
      <c r="B9" s="34">
        <f t="shared" ref="B9:G9" si="1">IF(B5=0,0,B8/B5)</f>
        <v>0.40350818167629737</v>
      </c>
      <c r="C9" s="34">
        <f t="shared" si="1"/>
        <v>0.40480860923070228</v>
      </c>
      <c r="D9" s="34">
        <f t="shared" si="1"/>
        <v>0.43662613861629629</v>
      </c>
      <c r="E9" s="34">
        <f t="shared" si="1"/>
        <v>0.41801389645505788</v>
      </c>
      <c r="F9" s="34">
        <f t="shared" si="1"/>
        <v>0.42147142697432749</v>
      </c>
      <c r="G9" s="34">
        <f t="shared" si="1"/>
        <v>0.39851553977455029</v>
      </c>
    </row>
    <row r="11" spans="1:8" ht="15" customHeight="1" x14ac:dyDescent="0.35">
      <c r="A11" s="12" t="s">
        <v>57</v>
      </c>
      <c r="B11" s="12"/>
      <c r="C11" s="12"/>
      <c r="D11" s="12"/>
      <c r="E11" s="12"/>
      <c r="F11" s="12"/>
      <c r="G11" s="12"/>
    </row>
    <row r="12" spans="1:8" x14ac:dyDescent="0.35">
      <c r="A12" s="22" t="s">
        <v>1</v>
      </c>
      <c r="B12" s="22" t="s">
        <v>58</v>
      </c>
      <c r="C12" s="22" t="s">
        <v>20</v>
      </c>
      <c r="D12" s="22" t="s">
        <v>59</v>
      </c>
      <c r="E12" s="22" t="s">
        <v>60</v>
      </c>
      <c r="F12" s="22" t="s">
        <v>61</v>
      </c>
      <c r="G12" s="22" t="s">
        <v>62</v>
      </c>
    </row>
    <row r="13" spans="1:8" x14ac:dyDescent="0.35">
      <c r="A13" s="29" t="s">
        <v>6</v>
      </c>
      <c r="B13" s="21">
        <f>SUMIFS(Raw_Data!$E:$E,Raw_Data!$B:$B,A13,Raw_Data!$C:$C,"Revenue")</f>
        <v>2507382</v>
      </c>
      <c r="C13" s="21">
        <f>SUMIFS(Raw_Data!$E:$E,Raw_Data!$B:$B,A13,Raw_Data!$C:$C,"Target",Raw_Data!$D:$D,"Revenue Target")</f>
        <v>2646000</v>
      </c>
      <c r="D13" s="21">
        <f>B13-C13</f>
        <v>-138618</v>
      </c>
      <c r="E13" s="35">
        <f>IF(C13=0,0,(B13-C13)/C13)</f>
        <v>-5.2387755102040814E-2</v>
      </c>
      <c r="F13" s="19" t="str">
        <f>IF(E13&gt;=0,"✅ On Track","⚠️ Below Target")</f>
        <v>⚠️ Below Target</v>
      </c>
      <c r="G13" s="19" t="str">
        <f>INDEX(Lookup_Table!$B$14:$B$16,MATCH(A13,Lookup_Table!$A$14:$A$16,0))</f>
        <v>South</v>
      </c>
    </row>
    <row r="14" spans="1:8" x14ac:dyDescent="0.35">
      <c r="A14" s="36" t="s">
        <v>23</v>
      </c>
      <c r="B14" s="18">
        <f>SUMIFS(Raw_Data!$E:$E,Raw_Data!$B:$B,A14,Raw_Data!$C:$C,"Revenue")</f>
        <v>2275504</v>
      </c>
      <c r="C14" s="18">
        <f>SUMIFS(Raw_Data!$E:$E,Raw_Data!$B:$B,A14,Raw_Data!$C:$C,"Target",Raw_Data!$D:$D,"Revenue Target")</f>
        <v>2394000</v>
      </c>
      <c r="D14" s="18">
        <f>B14-C14</f>
        <v>-118496</v>
      </c>
      <c r="E14" s="37">
        <f>IF(C14=0,0,(B14-C14)/C14)</f>
        <v>-4.949707602339181E-2</v>
      </c>
      <c r="F14" s="16" t="str">
        <f>IF(E14&gt;=0,"✅ On Track","⚠️ Below Target")</f>
        <v>⚠️ Below Target</v>
      </c>
      <c r="G14" s="16" t="str">
        <f>INDEX(Lookup_Table!$B$14:$B$16,MATCH(A14,Lookup_Table!$A$14:$A$16,0))</f>
        <v>West</v>
      </c>
    </row>
    <row r="15" spans="1:8" x14ac:dyDescent="0.35">
      <c r="A15" s="29" t="s">
        <v>24</v>
      </c>
      <c r="B15" s="21">
        <f>SUMIFS(Raw_Data!$E:$E,Raw_Data!$B:$B,A15,Raw_Data!$C:$C,"Revenue")</f>
        <v>1838084</v>
      </c>
      <c r="C15" s="21">
        <f>SUMIFS(Raw_Data!$E:$E,Raw_Data!$B:$B,A15,Raw_Data!$C:$C,"Target",Raw_Data!$D:$D,"Revenue Target")</f>
        <v>1953000</v>
      </c>
      <c r="D15" s="21">
        <f>B15-C15</f>
        <v>-114916</v>
      </c>
      <c r="E15" s="35">
        <f>IF(C15=0,0,(B15-C15)/C15)</f>
        <v>-5.8840757808499747E-2</v>
      </c>
      <c r="F15" s="19" t="str">
        <f>IF(E15&gt;=0,"✅ On Track","⚠️ Below Target")</f>
        <v>⚠️ Below Target</v>
      </c>
      <c r="G15" s="19" t="str">
        <f>INDEX(Lookup_Table!$B$14:$B$16,MATCH(A15,Lookup_Table!$A$14:$A$16,0))</f>
        <v>South</v>
      </c>
    </row>
    <row r="17" spans="1:9" ht="15" customHeight="1" x14ac:dyDescent="0.35">
      <c r="A17" s="12" t="s">
        <v>63</v>
      </c>
      <c r="B17" s="12"/>
      <c r="C17" s="12"/>
      <c r="D17" s="12"/>
      <c r="E17" s="12"/>
      <c r="F17" s="12"/>
      <c r="G17" s="12"/>
    </row>
    <row r="18" spans="1:9" x14ac:dyDescent="0.35">
      <c r="A18" s="22" t="s">
        <v>0</v>
      </c>
      <c r="B18" s="22" t="s">
        <v>52</v>
      </c>
      <c r="C18" s="22" t="s">
        <v>20</v>
      </c>
      <c r="D18" s="22" t="s">
        <v>64</v>
      </c>
      <c r="E18" s="22" t="s">
        <v>65</v>
      </c>
      <c r="F18" s="22" t="s">
        <v>53</v>
      </c>
      <c r="G18" s="22" t="s">
        <v>21</v>
      </c>
      <c r="H18" s="22" t="s">
        <v>66</v>
      </c>
      <c r="I18" s="22" t="s">
        <v>67</v>
      </c>
    </row>
    <row r="19" spans="1:9" x14ac:dyDescent="0.35">
      <c r="A19" s="38" t="s">
        <v>5</v>
      </c>
      <c r="B19" s="21">
        <f>SUMIFS(Raw_Data!$E:$E,Raw_Data!$A:$A,A19,Raw_Data!$C:$C,"Revenue")</f>
        <v>1070013</v>
      </c>
      <c r="C19" s="21">
        <f>SUMIFS(Raw_Data!$E:$E,Raw_Data!$A:$A,A19,Raw_Data!$C:$C,"Target",Raw_Data!$D:$D,"Revenue Target")</f>
        <v>1165500</v>
      </c>
      <c r="D19" s="21">
        <f t="shared" ref="D19:D24" si="2">B19-C19</f>
        <v>-95487</v>
      </c>
      <c r="E19" s="35">
        <f t="shared" ref="E19:E24" si="3">IF(C19=0,0,(B19-C19)/C19)</f>
        <v>-8.1927927927927927E-2</v>
      </c>
      <c r="F19" s="21">
        <f>SUMIFS(Raw_Data!$E:$E,Raw_Data!$A:$A,A19,Raw_Data!$C:$C,"OpEx")</f>
        <v>482689</v>
      </c>
      <c r="G19" s="21">
        <f>SUMIFS(Raw_Data!$E:$E,Raw_Data!$A:$A,A19,Raw_Data!$C:$C,"Target",Raw_Data!$D:$D,"OpEx Target")</f>
        <v>470250</v>
      </c>
      <c r="H19" s="21">
        <f t="shared" ref="H19:H24" si="4">G19-F19</f>
        <v>-12439</v>
      </c>
      <c r="I19" s="19" t="str">
        <f t="shared" ref="I19:I24" si="5">IF(OR(E19&lt;-0.05,H19&gt;0.05),"🚨 Review","✅ OK")</f>
        <v>🚨 Review</v>
      </c>
    </row>
    <row r="20" spans="1:9" x14ac:dyDescent="0.35">
      <c r="A20" s="39" t="s">
        <v>25</v>
      </c>
      <c r="B20" s="18">
        <f>SUMIFS(Raw_Data!$E:$E,Raw_Data!$A:$A,A20,Raw_Data!$C:$C,"Revenue")</f>
        <v>1103188</v>
      </c>
      <c r="C20" s="18">
        <f>SUMIFS(Raw_Data!$E:$E,Raw_Data!$A:$A,A20,Raw_Data!$C:$C,"Target",Raw_Data!$D:$D,"Revenue Target")</f>
        <v>1165500</v>
      </c>
      <c r="D20" s="18">
        <f t="shared" si="2"/>
        <v>-62312</v>
      </c>
      <c r="E20" s="37">
        <f t="shared" si="3"/>
        <v>-5.346374946374946E-2</v>
      </c>
      <c r="F20" s="18">
        <f>SUMIFS(Raw_Data!$E:$E,Raw_Data!$A:$A,A20,Raw_Data!$C:$C,"OpEx")</f>
        <v>501150</v>
      </c>
      <c r="G20" s="18">
        <f>SUMIFS(Raw_Data!$E:$E,Raw_Data!$A:$A,A20,Raw_Data!$C:$C,"Target",Raw_Data!$D:$D,"OpEx Target")</f>
        <v>470250</v>
      </c>
      <c r="H20" s="18">
        <f t="shared" si="4"/>
        <v>-30900</v>
      </c>
      <c r="I20" s="16" t="str">
        <f t="shared" si="5"/>
        <v>🚨 Review</v>
      </c>
    </row>
    <row r="21" spans="1:9" x14ac:dyDescent="0.35">
      <c r="A21" s="38" t="s">
        <v>26</v>
      </c>
      <c r="B21" s="21">
        <f>SUMIFS(Raw_Data!$E:$E,Raw_Data!$A:$A,A21,Raw_Data!$C:$C,"Revenue")</f>
        <v>1138553</v>
      </c>
      <c r="C21" s="21">
        <f>SUMIFS(Raw_Data!$E:$E,Raw_Data!$A:$A,A21,Raw_Data!$C:$C,"Target",Raw_Data!$D:$D,"Revenue Target")</f>
        <v>1165500</v>
      </c>
      <c r="D21" s="21">
        <f t="shared" si="2"/>
        <v>-26947</v>
      </c>
      <c r="E21" s="35">
        <f t="shared" si="3"/>
        <v>-2.312054912054912E-2</v>
      </c>
      <c r="F21" s="21">
        <f>SUMIFS(Raw_Data!$E:$E,Raw_Data!$A:$A,A21,Raw_Data!$C:$C,"OpEx")</f>
        <v>481385</v>
      </c>
      <c r="G21" s="21">
        <f>SUMIFS(Raw_Data!$E:$E,Raw_Data!$A:$A,A21,Raw_Data!$C:$C,"Target",Raw_Data!$D:$D,"OpEx Target")</f>
        <v>470250</v>
      </c>
      <c r="H21" s="21">
        <f t="shared" si="4"/>
        <v>-11135</v>
      </c>
      <c r="I21" s="19" t="str">
        <f t="shared" si="5"/>
        <v>✅ OK</v>
      </c>
    </row>
    <row r="22" spans="1:9" x14ac:dyDescent="0.35">
      <c r="A22" s="39" t="s">
        <v>27</v>
      </c>
      <c r="B22" s="18">
        <f>SUMIFS(Raw_Data!$E:$E,Raw_Data!$A:$A,A22,Raw_Data!$C:$C,"Revenue")</f>
        <v>1106901</v>
      </c>
      <c r="C22" s="18">
        <f>SUMIFS(Raw_Data!$E:$E,Raw_Data!$A:$A,A22,Raw_Data!$C:$C,"Target",Raw_Data!$D:$D,"Revenue Target")</f>
        <v>1165500</v>
      </c>
      <c r="D22" s="18">
        <f t="shared" si="2"/>
        <v>-58599</v>
      </c>
      <c r="E22" s="37">
        <f t="shared" si="3"/>
        <v>-5.0277992277992276E-2</v>
      </c>
      <c r="F22" s="18">
        <f>SUMIFS(Raw_Data!$E:$E,Raw_Data!$A:$A,A22,Raw_Data!$C:$C,"OpEx")</f>
        <v>487528</v>
      </c>
      <c r="G22" s="18">
        <f>SUMIFS(Raw_Data!$E:$E,Raw_Data!$A:$A,A22,Raw_Data!$C:$C,"Target",Raw_Data!$D:$D,"OpEx Target")</f>
        <v>470250</v>
      </c>
      <c r="H22" s="18">
        <f t="shared" si="4"/>
        <v>-17278</v>
      </c>
      <c r="I22" s="16" t="str">
        <f t="shared" si="5"/>
        <v>🚨 Review</v>
      </c>
    </row>
    <row r="23" spans="1:9" x14ac:dyDescent="0.35">
      <c r="A23" s="38" t="s">
        <v>28</v>
      </c>
      <c r="B23" s="21">
        <f>SUMIFS(Raw_Data!$E:$E,Raw_Data!$A:$A,A23,Raw_Data!$C:$C,"Revenue")</f>
        <v>1127042</v>
      </c>
      <c r="C23" s="21">
        <f>SUMIFS(Raw_Data!$E:$E,Raw_Data!$A:$A,A23,Raw_Data!$C:$C,"Target",Raw_Data!$D:$D,"Revenue Target")</f>
        <v>1165500</v>
      </c>
      <c r="D23" s="21">
        <f t="shared" si="2"/>
        <v>-38458</v>
      </c>
      <c r="E23" s="35">
        <f t="shared" si="3"/>
        <v>-3.2996996996997E-2</v>
      </c>
      <c r="F23" s="21">
        <f>SUMIFS(Raw_Data!$E:$E,Raw_Data!$A:$A,A23,Raw_Data!$C:$C,"OpEx")</f>
        <v>492704</v>
      </c>
      <c r="G23" s="21">
        <f>SUMIFS(Raw_Data!$E:$E,Raw_Data!$A:$A,A23,Raw_Data!$C:$C,"Target",Raw_Data!$D:$D,"OpEx Target")</f>
        <v>470250</v>
      </c>
      <c r="H23" s="21">
        <f t="shared" si="4"/>
        <v>-22454</v>
      </c>
      <c r="I23" s="19" t="str">
        <f t="shared" si="5"/>
        <v>✅ OK</v>
      </c>
    </row>
    <row r="24" spans="1:9" x14ac:dyDescent="0.35">
      <c r="A24" s="39" t="s">
        <v>29</v>
      </c>
      <c r="B24" s="18">
        <f>SUMIFS(Raw_Data!$E:$E,Raw_Data!$A:$A,A24,Raw_Data!$C:$C,"Revenue")</f>
        <v>1075273</v>
      </c>
      <c r="C24" s="18">
        <f>SUMIFS(Raw_Data!$E:$E,Raw_Data!$A:$A,A24,Raw_Data!$C:$C,"Target",Raw_Data!$D:$D,"Revenue Target")</f>
        <v>1165500</v>
      </c>
      <c r="D24" s="18">
        <f t="shared" si="2"/>
        <v>-90227</v>
      </c>
      <c r="E24" s="37">
        <f t="shared" si="3"/>
        <v>-7.7414843414843421E-2</v>
      </c>
      <c r="F24" s="18">
        <f>SUMIFS(Raw_Data!$E:$E,Raw_Data!$A:$A,A24,Raw_Data!$C:$C,"OpEx")</f>
        <v>486981</v>
      </c>
      <c r="G24" s="18">
        <f>SUMIFS(Raw_Data!$E:$E,Raw_Data!$A:$A,A24,Raw_Data!$C:$C,"Target",Raw_Data!$D:$D,"OpEx Target")</f>
        <v>470250</v>
      </c>
      <c r="H24" s="18">
        <f t="shared" si="4"/>
        <v>-16731</v>
      </c>
      <c r="I24" s="16" t="str">
        <f t="shared" si="5"/>
        <v>🚨 Review</v>
      </c>
    </row>
  </sheetData>
  <mergeCells count="4">
    <mergeCell ref="A1:H1"/>
    <mergeCell ref="A3:H3"/>
    <mergeCell ref="A11:G11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L31"/>
  <sheetViews>
    <sheetView showGridLines="0" topLeftCell="A19" zoomScaleNormal="100" workbookViewId="0">
      <selection activeCell="I8" sqref="I8"/>
    </sheetView>
  </sheetViews>
  <sheetFormatPr defaultColWidth="8.6328125" defaultRowHeight="14.5" x14ac:dyDescent="0.35"/>
  <cols>
    <col min="1" max="1" width="18" customWidth="1"/>
    <col min="2" max="5" width="16" customWidth="1"/>
    <col min="6" max="6" width="12" customWidth="1"/>
    <col min="7" max="7" width="20" customWidth="1"/>
    <col min="8" max="10" width="12" customWidth="1"/>
    <col min="11" max="11" width="20" customWidth="1"/>
    <col min="12" max="12" width="14" customWidth="1"/>
  </cols>
  <sheetData>
    <row r="1" spans="1:12" ht="39.75" customHeight="1" x14ac:dyDescent="0.35">
      <c r="A1" s="11" t="s">
        <v>68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9.5" customHeight="1" x14ac:dyDescent="0.35">
      <c r="A2" s="10" t="s">
        <v>69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ht="19.5" customHeight="1" x14ac:dyDescent="0.35">
      <c r="A4" s="9" t="s">
        <v>70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21.75" customHeight="1" x14ac:dyDescent="0.35">
      <c r="A5" s="8" t="s">
        <v>52</v>
      </c>
      <c r="B5" s="8"/>
      <c r="C5" s="7" t="s">
        <v>53</v>
      </c>
      <c r="D5" s="7"/>
      <c r="E5" s="6" t="s">
        <v>54</v>
      </c>
      <c r="F5" s="6"/>
      <c r="G5" s="5" t="s">
        <v>55</v>
      </c>
      <c r="H5" s="5"/>
      <c r="I5" s="4" t="s">
        <v>56</v>
      </c>
      <c r="J5" s="4"/>
      <c r="K5" s="3" t="s">
        <v>71</v>
      </c>
      <c r="L5" s="3"/>
    </row>
    <row r="6" spans="1:12" ht="31.5" customHeight="1" x14ac:dyDescent="0.35">
      <c r="A6" s="2">
        <f>SUMIFS(Raw_Data!$E:$E,Raw_Data!$C:$C,"Revenue")</f>
        <v>6620970</v>
      </c>
      <c r="B6" s="2"/>
      <c r="C6" s="1">
        <f>SUMIFS(Raw_Data!$E:$E,Raw_Data!$C:$C,"OpEx")</f>
        <v>2932437</v>
      </c>
      <c r="D6" s="1"/>
      <c r="E6" s="41">
        <f>SUMIFS(Raw_Data!$E:$E,Raw_Data!$C:$C,"Overhead")</f>
        <v>946843</v>
      </c>
      <c r="F6" s="41"/>
      <c r="G6" s="42">
        <f>Dashboard!B6-Dashboard!D6-Dashboard!F6</f>
        <v>0</v>
      </c>
      <c r="H6" s="42"/>
      <c r="I6" s="43">
        <f>IF(B6=0,0,H6/B6)</f>
        <v>0</v>
      </c>
      <c r="J6" s="43"/>
      <c r="K6" s="44">
        <f>B6/6</f>
        <v>0</v>
      </c>
      <c r="L6" s="44"/>
    </row>
    <row r="9" spans="1:12" ht="19.5" customHeight="1" x14ac:dyDescent="0.35">
      <c r="A9" s="45" t="s">
        <v>72</v>
      </c>
      <c r="B9" s="45"/>
      <c r="C9" s="45"/>
      <c r="D9" s="45"/>
      <c r="E9" s="45"/>
      <c r="F9" s="45"/>
      <c r="G9" s="45"/>
    </row>
    <row r="10" spans="1:12" x14ac:dyDescent="0.35">
      <c r="A10" s="40" t="s">
        <v>0</v>
      </c>
      <c r="B10" s="40" t="s">
        <v>7</v>
      </c>
      <c r="C10" s="40" t="s">
        <v>11</v>
      </c>
      <c r="D10" s="40" t="s">
        <v>15</v>
      </c>
      <c r="E10" s="40" t="s">
        <v>55</v>
      </c>
      <c r="F10" s="40" t="s">
        <v>73</v>
      </c>
      <c r="G10" s="40" t="s">
        <v>74</v>
      </c>
    </row>
    <row r="11" spans="1:12" x14ac:dyDescent="0.35">
      <c r="A11" s="39" t="s">
        <v>5</v>
      </c>
      <c r="B11" s="18">
        <f>SUMIFS(Raw_Data!$E:$E,Raw_Data!$A:$A,A11,Raw_Data!$C:$C,"Revenue")</f>
        <v>1070013</v>
      </c>
      <c r="C11" s="18">
        <f>SUMIFS(Raw_Data!$E:$E,Raw_Data!$A:$A,A11,Raw_Data!$C:$C,"OpEx")</f>
        <v>482689</v>
      </c>
      <c r="D11" s="18">
        <f>SUMIFS(Raw_Data!$E:$E,Raw_Data!$A:$A,A11,Raw_Data!$C:$C,"Overhead")</f>
        <v>155565</v>
      </c>
      <c r="E11" s="18">
        <f t="shared" ref="E11:E16" si="0">B11-C11-D11</f>
        <v>431759</v>
      </c>
      <c r="F11" s="37">
        <f t="shared" ref="F11:F16" si="1">IF(B11=0,0,E11/B11)</f>
        <v>0.40350818167629737</v>
      </c>
      <c r="G11" s="18">
        <f>SUMIFS(Raw_Data!$E:$E,Raw_Data!$A:$A,A11,Raw_Data!$C:$C,"Target",Raw_Data!$D:$D,"Revenue Target")</f>
        <v>1165500</v>
      </c>
    </row>
    <row r="12" spans="1:12" x14ac:dyDescent="0.35">
      <c r="A12" s="38" t="s">
        <v>25</v>
      </c>
      <c r="B12" s="21">
        <f>SUMIFS(Raw_Data!$E:$E,Raw_Data!$A:$A,A12,Raw_Data!$C:$C,"Revenue")</f>
        <v>1103188</v>
      </c>
      <c r="C12" s="21">
        <f>SUMIFS(Raw_Data!$E:$E,Raw_Data!$A:$A,A12,Raw_Data!$C:$C,"OpEx")</f>
        <v>501150</v>
      </c>
      <c r="D12" s="21">
        <f>SUMIFS(Raw_Data!$E:$E,Raw_Data!$A:$A,A12,Raw_Data!$C:$C,"Overhead")</f>
        <v>155458</v>
      </c>
      <c r="E12" s="21">
        <f t="shared" si="0"/>
        <v>446580</v>
      </c>
      <c r="F12" s="35">
        <f t="shared" si="1"/>
        <v>0.40480860923070228</v>
      </c>
      <c r="G12" s="21">
        <f>SUMIFS(Raw_Data!$E:$E,Raw_Data!$A:$A,A12,Raw_Data!$C:$C,"Target",Raw_Data!$D:$D,"Revenue Target")</f>
        <v>1165500</v>
      </c>
    </row>
    <row r="13" spans="1:12" x14ac:dyDescent="0.35">
      <c r="A13" s="39" t="s">
        <v>26</v>
      </c>
      <c r="B13" s="18">
        <f>SUMIFS(Raw_Data!$E:$E,Raw_Data!$A:$A,A13,Raw_Data!$C:$C,"Revenue")</f>
        <v>1138553</v>
      </c>
      <c r="C13" s="18">
        <f>SUMIFS(Raw_Data!$E:$E,Raw_Data!$A:$A,A13,Raw_Data!$C:$C,"OpEx")</f>
        <v>481385</v>
      </c>
      <c r="D13" s="18">
        <f>SUMIFS(Raw_Data!$E:$E,Raw_Data!$A:$A,A13,Raw_Data!$C:$C,"Overhead")</f>
        <v>160046</v>
      </c>
      <c r="E13" s="18">
        <f t="shared" si="0"/>
        <v>497122</v>
      </c>
      <c r="F13" s="37">
        <f t="shared" si="1"/>
        <v>0.43662613861629629</v>
      </c>
      <c r="G13" s="18">
        <f>SUMIFS(Raw_Data!$E:$E,Raw_Data!$A:$A,A13,Raw_Data!$C:$C,"Target",Raw_Data!$D:$D,"Revenue Target")</f>
        <v>1165500</v>
      </c>
    </row>
    <row r="14" spans="1:12" x14ac:dyDescent="0.35">
      <c r="A14" s="38" t="s">
        <v>27</v>
      </c>
      <c r="B14" s="21">
        <f>SUMIFS(Raw_Data!$E:$E,Raw_Data!$A:$A,A14,Raw_Data!$C:$C,"Revenue")</f>
        <v>1106901</v>
      </c>
      <c r="C14" s="21">
        <f>SUMIFS(Raw_Data!$E:$E,Raw_Data!$A:$A,A14,Raw_Data!$C:$C,"OpEx")</f>
        <v>487528</v>
      </c>
      <c r="D14" s="21">
        <f>SUMIFS(Raw_Data!$E:$E,Raw_Data!$A:$A,A14,Raw_Data!$C:$C,"Overhead")</f>
        <v>156673</v>
      </c>
      <c r="E14" s="21">
        <f t="shared" si="0"/>
        <v>462700</v>
      </c>
      <c r="F14" s="35">
        <f t="shared" si="1"/>
        <v>0.41801389645505788</v>
      </c>
      <c r="G14" s="21">
        <f>SUMIFS(Raw_Data!$E:$E,Raw_Data!$A:$A,A14,Raw_Data!$C:$C,"Target",Raw_Data!$D:$D,"Revenue Target")</f>
        <v>1165500</v>
      </c>
    </row>
    <row r="15" spans="1:12" x14ac:dyDescent="0.35">
      <c r="A15" s="39" t="s">
        <v>28</v>
      </c>
      <c r="B15" s="18">
        <f>SUMIFS(Raw_Data!$E:$E,Raw_Data!$A:$A,A15,Raw_Data!$C:$C,"Revenue")</f>
        <v>1127042</v>
      </c>
      <c r="C15" s="18">
        <f>SUMIFS(Raw_Data!$E:$E,Raw_Data!$A:$A,A15,Raw_Data!$C:$C,"OpEx")</f>
        <v>492704</v>
      </c>
      <c r="D15" s="18">
        <f>SUMIFS(Raw_Data!$E:$E,Raw_Data!$A:$A,A15,Raw_Data!$C:$C,"Overhead")</f>
        <v>159322</v>
      </c>
      <c r="E15" s="18">
        <f t="shared" si="0"/>
        <v>475016</v>
      </c>
      <c r="F15" s="37">
        <f t="shared" si="1"/>
        <v>0.42147142697432749</v>
      </c>
      <c r="G15" s="18">
        <f>SUMIFS(Raw_Data!$E:$E,Raw_Data!$A:$A,A15,Raw_Data!$C:$C,"Target",Raw_Data!$D:$D,"Revenue Target")</f>
        <v>1165500</v>
      </c>
    </row>
    <row r="16" spans="1:12" x14ac:dyDescent="0.35">
      <c r="A16" s="38" t="s">
        <v>29</v>
      </c>
      <c r="B16" s="21">
        <f>SUMIFS(Raw_Data!$E:$E,Raw_Data!$A:$A,A16,Raw_Data!$C:$C,"Revenue")</f>
        <v>1075273</v>
      </c>
      <c r="C16" s="21">
        <f>SUMIFS(Raw_Data!$E:$E,Raw_Data!$A:$A,A16,Raw_Data!$C:$C,"OpEx")</f>
        <v>486981</v>
      </c>
      <c r="D16" s="21">
        <f>SUMIFS(Raw_Data!$E:$E,Raw_Data!$A:$A,A16,Raw_Data!$C:$C,"Overhead")</f>
        <v>159779</v>
      </c>
      <c r="E16" s="21">
        <f t="shared" si="0"/>
        <v>428513</v>
      </c>
      <c r="F16" s="35">
        <f t="shared" si="1"/>
        <v>0.39851553977455029</v>
      </c>
      <c r="G16" s="21">
        <f>SUMIFS(Raw_Data!$E:$E,Raw_Data!$A:$A,A16,Raw_Data!$C:$C,"Target",Raw_Data!$D:$D,"Revenue Target")</f>
        <v>1165500</v>
      </c>
    </row>
    <row r="19" spans="1:12" ht="15" customHeight="1" x14ac:dyDescent="0.35">
      <c r="A19" s="45" t="s">
        <v>75</v>
      </c>
      <c r="B19" s="45"/>
      <c r="C19" s="45"/>
      <c r="D19" s="45"/>
      <c r="E19" s="45"/>
      <c r="F19" s="45"/>
      <c r="G19" s="45"/>
    </row>
    <row r="20" spans="1:12" x14ac:dyDescent="0.35">
      <c r="A20" s="40" t="s">
        <v>1</v>
      </c>
      <c r="B20" s="40" t="s">
        <v>76</v>
      </c>
      <c r="C20" s="40" t="s">
        <v>77</v>
      </c>
      <c r="D20" s="40" t="s">
        <v>78</v>
      </c>
      <c r="E20" s="40" t="s">
        <v>55</v>
      </c>
      <c r="F20" s="40" t="s">
        <v>73</v>
      </c>
      <c r="G20" s="40" t="s">
        <v>79</v>
      </c>
    </row>
    <row r="21" spans="1:12" x14ac:dyDescent="0.35">
      <c r="A21" s="36" t="s">
        <v>6</v>
      </c>
      <c r="B21" s="18">
        <f>SUMIFS(Raw_Data!$E:$E,Raw_Data!$B:$B,A21,Raw_Data!$C:$C,"Revenue")</f>
        <v>2507382</v>
      </c>
      <c r="C21" s="18">
        <f>SUMIFS(Raw_Data!$E:$E,Raw_Data!$B:$B,A21,Raw_Data!$C:$C,"OpEx")</f>
        <v>1079378</v>
      </c>
      <c r="D21" s="18">
        <f>SUMIFS(Raw_Data!$E:$E,Raw_Data!$B:$B,A21,Raw_Data!$C:$C,"Overhead")</f>
        <v>359655</v>
      </c>
      <c r="E21" s="18">
        <f>B21-C21-D21</f>
        <v>1068349</v>
      </c>
      <c r="F21" s="37">
        <f>IF(B21=0,0,E21/B21)</f>
        <v>0.42608146664528979</v>
      </c>
      <c r="G21" s="16">
        <f>INDEX(Lookup_Table!$C$14:$C$16,MATCH(A21,Lookup_Table!$A$14:$A$16,0))</f>
        <v>1200</v>
      </c>
    </row>
    <row r="22" spans="1:12" x14ac:dyDescent="0.35">
      <c r="A22" s="29" t="s">
        <v>23</v>
      </c>
      <c r="B22" s="21">
        <f>SUMIFS(Raw_Data!$E:$E,Raw_Data!$B:$B,A22,Raw_Data!$C:$C,"Revenue")</f>
        <v>2275504</v>
      </c>
      <c r="C22" s="21">
        <f>SUMIFS(Raw_Data!$E:$E,Raw_Data!$B:$B,A22,Raw_Data!$C:$C,"OpEx")</f>
        <v>1020699</v>
      </c>
      <c r="D22" s="21">
        <f>SUMIFS(Raw_Data!$E:$E,Raw_Data!$B:$B,A22,Raw_Data!$C:$C,"Overhead")</f>
        <v>325026</v>
      </c>
      <c r="E22" s="21">
        <f>B22-C22-D22</f>
        <v>929779</v>
      </c>
      <c r="F22" s="35">
        <f>IF(B22=0,0,E22/B22)</f>
        <v>0.40860354453343084</v>
      </c>
      <c r="G22" s="19">
        <f>INDEX(Lookup_Table!$C$14:$C$16,MATCH(A22,Lookup_Table!$A$14:$A$16,0))</f>
        <v>980</v>
      </c>
    </row>
    <row r="23" spans="1:12" x14ac:dyDescent="0.35">
      <c r="A23" s="36" t="s">
        <v>24</v>
      </c>
      <c r="B23" s="18">
        <f>SUMIFS(Raw_Data!$E:$E,Raw_Data!$B:$B,A23,Raw_Data!$C:$C,"Revenue")</f>
        <v>1838084</v>
      </c>
      <c r="C23" s="18">
        <f>SUMIFS(Raw_Data!$E:$E,Raw_Data!$B:$B,A23,Raw_Data!$C:$C,"OpEx")</f>
        <v>832360</v>
      </c>
      <c r="D23" s="18">
        <f>SUMIFS(Raw_Data!$E:$E,Raw_Data!$B:$B,A23,Raw_Data!$C:$C,"Overhead")</f>
        <v>262162</v>
      </c>
      <c r="E23" s="18">
        <f>B23-C23-D23</f>
        <v>743562</v>
      </c>
      <c r="F23" s="37">
        <f>IF(B23=0,0,E23/B23)</f>
        <v>0.40453102252127759</v>
      </c>
      <c r="G23" s="16">
        <f>INDEX(Lookup_Table!$C$14:$C$16,MATCH(A23,Lookup_Table!$A$14:$A$16,0))</f>
        <v>760</v>
      </c>
    </row>
    <row r="25" spans="1:12" ht="15" customHeight="1" x14ac:dyDescent="0.35">
      <c r="A25" s="46" t="s">
        <v>80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</row>
    <row r="26" spans="1:12" ht="18" customHeight="1" x14ac:dyDescent="0.35">
      <c r="A26" s="47" t="s">
        <v>81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</row>
    <row r="27" spans="1:12" ht="18" customHeight="1" x14ac:dyDescent="0.35">
      <c r="A27" s="47" t="s">
        <v>82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spans="1:12" ht="18" customHeight="1" x14ac:dyDescent="0.35">
      <c r="A28" s="47" t="s">
        <v>83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1:12" ht="18" customHeight="1" x14ac:dyDescent="0.35">
      <c r="A29" s="47" t="s">
        <v>84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</row>
    <row r="30" spans="1:12" ht="18" customHeight="1" x14ac:dyDescent="0.35">
      <c r="A30" s="47" t="s">
        <v>85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1:12" ht="18" customHeight="1" x14ac:dyDescent="0.35">
      <c r="A31" s="47" t="s">
        <v>86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</row>
  </sheetData>
  <mergeCells count="24">
    <mergeCell ref="A27:L27"/>
    <mergeCell ref="A28:L28"/>
    <mergeCell ref="A29:L29"/>
    <mergeCell ref="A30:L30"/>
    <mergeCell ref="A31:L31"/>
    <mergeCell ref="K6:L6"/>
    <mergeCell ref="A9:G9"/>
    <mergeCell ref="A19:G19"/>
    <mergeCell ref="A25:L25"/>
    <mergeCell ref="A26:L26"/>
    <mergeCell ref="A6:B6"/>
    <mergeCell ref="C6:D6"/>
    <mergeCell ref="E6:F6"/>
    <mergeCell ref="G6:H6"/>
    <mergeCell ref="I6:J6"/>
    <mergeCell ref="A1:L1"/>
    <mergeCell ref="A2:L2"/>
    <mergeCell ref="A4:L4"/>
    <mergeCell ref="A5:B5"/>
    <mergeCell ref="C5:D5"/>
    <mergeCell ref="E5:F5"/>
    <mergeCell ref="G5:H5"/>
    <mergeCell ref="I5:J5"/>
    <mergeCell ref="K5:L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Raw_Data</vt:lpstr>
      <vt:lpstr>Lookup_Table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HarshaSri</cp:lastModifiedBy>
  <cp:revision>0</cp:revision>
  <dcterms:created xsi:type="dcterms:W3CDTF">2026-04-11T09:45:30Z</dcterms:created>
  <dcterms:modified xsi:type="dcterms:W3CDTF">2026-04-11T12:28:06Z</dcterms:modified>
  <dc:language>en-US</dc:language>
</cp:coreProperties>
</file>